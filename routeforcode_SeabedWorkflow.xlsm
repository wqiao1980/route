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PC\Documents\Codex\2026-08-29\got\work\"/>
    </mc:Choice>
  </mc:AlternateContent>
  <xr:revisionPtr revIDLastSave="0" documentId="13_ncr:1_{3659E90D-9AFB-4040-A9A3-C65E30D57C05}" xr6:coauthVersionLast="47" xr6:coauthVersionMax="47" xr10:uidLastSave="{00000000-0000-0000-0000-000000000000}"/>
  <bookViews>
    <workbookView xWindow="2628" yWindow="1116" windowWidth="17280" windowHeight="8964" tabRatio="845" activeTab="6" xr2:uid="{00000000-000D-0000-FFFF-FFFF00000000}"/>
  </bookViews>
  <sheets>
    <sheet name="Data" sheetId="1" r:id="rId1"/>
    <sheet name="Seabed_3ft" sheetId="2" r:id="rId2"/>
    <sheet name="Seabed_m" sheetId="5" r:id="rId3"/>
    <sheet name="Seabed_m_offset" sheetId="6" r:id="rId4"/>
    <sheet name="FL6new2" sheetId="32" r:id="rId5"/>
    <sheet name="ModSeabed" sheetId="33" r:id="rId6"/>
    <sheet name="Seabed Workflow" sheetId="34" r:id="rId7"/>
  </sheet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C3" i="6" s="1"/>
  <c r="G3" i="5"/>
  <c r="G3" i="6" s="1"/>
  <c r="K3" i="5"/>
  <c r="K3" i="6" s="1"/>
  <c r="O3" i="5"/>
  <c r="O3" i="6" s="1"/>
  <c r="S3" i="5"/>
  <c r="S3" i="6" s="1"/>
  <c r="W3" i="5"/>
  <c r="W3" i="6" s="1"/>
  <c r="AU4" i="6" s="1"/>
  <c r="AA3" i="5"/>
  <c r="AA3" i="6" s="1"/>
  <c r="AE3" i="5"/>
  <c r="AE3" i="6" s="1"/>
  <c r="AI3" i="5"/>
  <c r="AI3" i="6" s="1"/>
  <c r="AM3" i="5"/>
  <c r="AM3" i="6" s="1"/>
  <c r="AQ3" i="5"/>
  <c r="AQ3" i="6" s="1"/>
  <c r="C4" i="5"/>
  <c r="C4" i="6" s="1"/>
  <c r="G4" i="5"/>
  <c r="G4" i="6" s="1"/>
  <c r="K4" i="5"/>
  <c r="K4" i="6" s="1"/>
  <c r="O4" i="5"/>
  <c r="O4" i="6" s="1"/>
  <c r="S4" i="5"/>
  <c r="S4" i="6" s="1"/>
  <c r="W4" i="5"/>
  <c r="W4" i="6" s="1"/>
  <c r="AU5" i="6" s="1"/>
  <c r="AA4" i="5"/>
  <c r="AA4" i="6" s="1"/>
  <c r="AE4" i="5"/>
  <c r="AE4" i="6" s="1"/>
  <c r="AI4" i="5"/>
  <c r="AI4" i="6" s="1"/>
  <c r="AM4" i="5"/>
  <c r="AM4" i="6" s="1"/>
  <c r="AQ4" i="5"/>
  <c r="AQ4" i="6" s="1"/>
  <c r="AT5" i="2"/>
  <c r="AT4" i="5" s="1"/>
  <c r="AT4" i="6" s="1"/>
  <c r="AV5" i="6" s="1"/>
  <c r="AT6" i="2"/>
  <c r="AT5" i="5" s="1"/>
  <c r="AT5" i="6" s="1"/>
  <c r="AV6" i="6" s="1"/>
  <c r="AT7" i="2"/>
  <c r="AT6" i="5" s="1"/>
  <c r="AT6" i="6" s="1"/>
  <c r="AV7" i="6" s="1"/>
  <c r="AS5" i="2"/>
  <c r="AS4" i="5" s="1"/>
  <c r="AS6" i="2"/>
  <c r="AS5" i="5" s="1"/>
  <c r="AS7" i="2"/>
  <c r="AS6" i="5" s="1"/>
  <c r="AR5" i="2"/>
  <c r="AR4" i="5" s="1"/>
  <c r="AR6" i="2"/>
  <c r="AR5" i="5" s="1"/>
  <c r="AR7" i="2"/>
  <c r="AR6" i="5" s="1"/>
  <c r="AS4" i="2"/>
  <c r="AS3" i="5" s="1"/>
  <c r="AP5" i="2"/>
  <c r="AP4" i="5" s="1"/>
  <c r="AP4" i="6" s="1"/>
  <c r="AW5" i="6" s="1"/>
  <c r="AP6" i="2"/>
  <c r="AP5" i="5" s="1"/>
  <c r="AP5" i="6" s="1"/>
  <c r="AW6" i="6" s="1"/>
  <c r="AP7" i="2"/>
  <c r="AO5" i="2"/>
  <c r="AO4" i="5" s="1"/>
  <c r="AO6" i="2"/>
  <c r="AO5" i="5" s="1"/>
  <c r="AO7" i="2"/>
  <c r="AN5" i="2"/>
  <c r="AN4" i="5" s="1"/>
  <c r="AN6" i="2"/>
  <c r="AM6" i="2" s="1"/>
  <c r="AN7" i="2"/>
  <c r="AN6" i="5" s="1"/>
  <c r="AL5" i="2"/>
  <c r="AL4" i="5" s="1"/>
  <c r="AL4" i="6" s="1"/>
  <c r="AX5" i="6" s="1"/>
  <c r="AL6" i="2"/>
  <c r="AL5" i="5" s="1"/>
  <c r="AL5" i="6" s="1"/>
  <c r="AX6" i="6" s="1"/>
  <c r="AL7" i="2"/>
  <c r="AL6" i="5" s="1"/>
  <c r="AL6" i="6" s="1"/>
  <c r="AX7" i="6" s="1"/>
  <c r="AK5" i="2"/>
  <c r="AK4" i="5" s="1"/>
  <c r="AK6" i="2"/>
  <c r="AK5" i="5" s="1"/>
  <c r="AK7" i="2"/>
  <c r="AK6" i="5" s="1"/>
  <c r="AJ5" i="2"/>
  <c r="AJ4" i="2" s="1"/>
  <c r="AJ3" i="5" s="1"/>
  <c r="AJ6" i="2"/>
  <c r="AJ7" i="2"/>
  <c r="AH5" i="2"/>
  <c r="AH4" i="5" s="1"/>
  <c r="AH4" i="6" s="1"/>
  <c r="AY5" i="6" s="1"/>
  <c r="AH6" i="2"/>
  <c r="AH5" i="5" s="1"/>
  <c r="AH5" i="6" s="1"/>
  <c r="AY6" i="6" s="1"/>
  <c r="AH7" i="2"/>
  <c r="AH6" i="5" s="1"/>
  <c r="AH6" i="6" s="1"/>
  <c r="AY7" i="6" s="1"/>
  <c r="AG5" i="2"/>
  <c r="AG4" i="5" s="1"/>
  <c r="AG6" i="2"/>
  <c r="AG5" i="5" s="1"/>
  <c r="AG7" i="2"/>
  <c r="AF5" i="2"/>
  <c r="AF6" i="2"/>
  <c r="AF5" i="5" s="1"/>
  <c r="AF7" i="2"/>
  <c r="AF6" i="5" s="1"/>
  <c r="AD5" i="2"/>
  <c r="AD6" i="2"/>
  <c r="AD5" i="5" s="1"/>
  <c r="AD5" i="6" s="1"/>
  <c r="AZ6" i="6" s="1"/>
  <c r="AD7" i="2"/>
  <c r="AD6" i="5" s="1"/>
  <c r="AD6" i="6" s="1"/>
  <c r="AZ7" i="6" s="1"/>
  <c r="AC5" i="2"/>
  <c r="AC4" i="5" s="1"/>
  <c r="AC6" i="2"/>
  <c r="AC7" i="2"/>
  <c r="AC6" i="5" s="1"/>
  <c r="AB5" i="2"/>
  <c r="AB4" i="5" s="1"/>
  <c r="AB6" i="2"/>
  <c r="AB5" i="5" s="1"/>
  <c r="AB7" i="2"/>
  <c r="AB6" i="5" s="1"/>
  <c r="Z5" i="2"/>
  <c r="Z4" i="2" s="1"/>
  <c r="Z3" i="5" s="1"/>
  <c r="Z3" i="6" s="1"/>
  <c r="BA4" i="6" s="1"/>
  <c r="Z6" i="2"/>
  <c r="Z5" i="5" s="1"/>
  <c r="Z5" i="6" s="1"/>
  <c r="BA6" i="6" s="1"/>
  <c r="Z7" i="2"/>
  <c r="Z6" i="5" s="1"/>
  <c r="Z6" i="6" s="1"/>
  <c r="BA7" i="6" s="1"/>
  <c r="Y5" i="2"/>
  <c r="Y4" i="5" s="1"/>
  <c r="Y6" i="2"/>
  <c r="Y5" i="5" s="1"/>
  <c r="Y7" i="2"/>
  <c r="Y6" i="5" s="1"/>
  <c r="X5" i="2"/>
  <c r="X6" i="2"/>
  <c r="X5" i="5" s="1"/>
  <c r="X7" i="2"/>
  <c r="X6" i="5" s="1"/>
  <c r="W6" i="2"/>
  <c r="W5" i="5" s="1"/>
  <c r="W5" i="6" s="1"/>
  <c r="AU6" i="6" s="1"/>
  <c r="X4" i="2"/>
  <c r="X3" i="5" s="1"/>
  <c r="V5" i="2"/>
  <c r="V4" i="5" s="1"/>
  <c r="V4" i="6" s="1"/>
  <c r="BB5" i="6" s="1"/>
  <c r="V6" i="2"/>
  <c r="V5" i="5" s="1"/>
  <c r="V5" i="6" s="1"/>
  <c r="BB6" i="6" s="1"/>
  <c r="V7" i="2"/>
  <c r="U5" i="2"/>
  <c r="U6" i="2"/>
  <c r="U5" i="5" s="1"/>
  <c r="U7" i="2"/>
  <c r="U6" i="5" s="1"/>
  <c r="T5" i="2"/>
  <c r="T4" i="5" s="1"/>
  <c r="T6" i="2"/>
  <c r="T5" i="5" s="1"/>
  <c r="T7" i="2"/>
  <c r="T6" i="5" s="1"/>
  <c r="R5" i="2"/>
  <c r="R4" i="5" s="1"/>
  <c r="R4" i="6" s="1"/>
  <c r="BC5" i="6" s="1"/>
  <c r="R6" i="2"/>
  <c r="R5" i="5" s="1"/>
  <c r="R5" i="6" s="1"/>
  <c r="BC6" i="6" s="1"/>
  <c r="R7" i="2"/>
  <c r="Q5" i="2"/>
  <c r="Q6" i="2"/>
  <c r="Q5" i="5" s="1"/>
  <c r="Q7" i="2"/>
  <c r="Q6" i="5" s="1"/>
  <c r="P5" i="2"/>
  <c r="P4" i="5" s="1"/>
  <c r="P6" i="2"/>
  <c r="P7" i="2"/>
  <c r="R4" i="2"/>
  <c r="R3" i="5" s="1"/>
  <c r="R3" i="6" s="1"/>
  <c r="BC4" i="6" s="1"/>
  <c r="N5" i="2"/>
  <c r="N6" i="2"/>
  <c r="N5" i="5" s="1"/>
  <c r="N5" i="6" s="1"/>
  <c r="BD6" i="6" s="1"/>
  <c r="N7" i="2"/>
  <c r="N6" i="5" s="1"/>
  <c r="N6" i="6" s="1"/>
  <c r="BD7" i="6" s="1"/>
  <c r="M5" i="2"/>
  <c r="M4" i="5" s="1"/>
  <c r="M6" i="2"/>
  <c r="M5" i="5" s="1"/>
  <c r="M7" i="2"/>
  <c r="M6" i="5" s="1"/>
  <c r="L5" i="2"/>
  <c r="L4" i="5" s="1"/>
  <c r="L6" i="2"/>
  <c r="L7" i="2"/>
  <c r="J5" i="2"/>
  <c r="J4" i="5" s="1"/>
  <c r="J4" i="6" s="1"/>
  <c r="BE5" i="6" s="1"/>
  <c r="J6" i="2"/>
  <c r="J5" i="5" s="1"/>
  <c r="J5" i="6" s="1"/>
  <c r="BE6" i="6" s="1"/>
  <c r="J7" i="2"/>
  <c r="J6" i="5" s="1"/>
  <c r="J6" i="6" s="1"/>
  <c r="BE7" i="6" s="1"/>
  <c r="I5" i="2"/>
  <c r="I4" i="5" s="1"/>
  <c r="I6" i="2"/>
  <c r="I5" i="5" s="1"/>
  <c r="I7" i="2"/>
  <c r="I6" i="5" s="1"/>
  <c r="H5" i="2"/>
  <c r="H4" i="5" s="1"/>
  <c r="H6" i="2"/>
  <c r="H5" i="5" s="1"/>
  <c r="H7" i="2"/>
  <c r="H6" i="5" s="1"/>
  <c r="F5" i="2"/>
  <c r="F4" i="5" s="1"/>
  <c r="F4" i="6" s="1"/>
  <c r="BF5" i="6" s="1"/>
  <c r="F6" i="2"/>
  <c r="F5" i="5" s="1"/>
  <c r="F5" i="6" s="1"/>
  <c r="BF6" i="6" s="1"/>
  <c r="F7" i="2"/>
  <c r="E5" i="2"/>
  <c r="E4" i="5" s="1"/>
  <c r="E6" i="2"/>
  <c r="E5" i="5" s="1"/>
  <c r="E7" i="2"/>
  <c r="E6" i="5" s="1"/>
  <c r="D5" i="2"/>
  <c r="D6" i="2"/>
  <c r="D5" i="5" s="1"/>
  <c r="D7" i="2"/>
  <c r="D6" i="5" s="1"/>
  <c r="B5" i="2"/>
  <c r="B6" i="2"/>
  <c r="B7" i="2"/>
  <c r="A5" i="2"/>
  <c r="AN23" i="32"/>
  <c r="AK23" i="32"/>
  <c r="AJ23" i="32"/>
  <c r="AN22" i="32"/>
  <c r="AK22" i="32"/>
  <c r="AJ22" i="32"/>
  <c r="AI22" i="32"/>
  <c r="AH22" i="32"/>
  <c r="AN21" i="32"/>
  <c r="AK21" i="32"/>
  <c r="AJ21" i="32"/>
  <c r="AN20" i="32"/>
  <c r="AK20" i="32"/>
  <c r="AJ20" i="32"/>
  <c r="AN19" i="32"/>
  <c r="AK19" i="32"/>
  <c r="AJ19" i="32"/>
  <c r="AN18" i="32"/>
  <c r="AK18" i="32"/>
  <c r="AJ18" i="32"/>
  <c r="AI18" i="32"/>
  <c r="AH18" i="32"/>
  <c r="AK17" i="32"/>
  <c r="AJ17" i="32"/>
  <c r="AN16" i="32"/>
  <c r="AK16" i="32"/>
  <c r="AJ16" i="32"/>
  <c r="AN15" i="32"/>
  <c r="AK15" i="32"/>
  <c r="AJ15" i="32"/>
  <c r="AN14" i="32"/>
  <c r="AK14" i="32"/>
  <c r="AJ14" i="32"/>
  <c r="AI14" i="32"/>
  <c r="AH14" i="32"/>
  <c r="AN13" i="32"/>
  <c r="AK13" i="32"/>
  <c r="AJ13" i="32"/>
  <c r="AI13" i="32"/>
  <c r="AH13" i="32"/>
  <c r="AN12" i="32"/>
  <c r="AK12" i="32"/>
  <c r="AJ12" i="32"/>
  <c r="AI12" i="32"/>
  <c r="AH12" i="32"/>
  <c r="AN11" i="32"/>
  <c r="AK11" i="32"/>
  <c r="AJ11" i="32"/>
  <c r="AI11" i="32"/>
  <c r="AH11" i="32"/>
  <c r="AN10" i="32"/>
  <c r="AK10" i="32"/>
  <c r="AJ10" i="32"/>
  <c r="AI10" i="32"/>
  <c r="AH10" i="32"/>
  <c r="AN9" i="32"/>
  <c r="AK9" i="32"/>
  <c r="AJ9" i="32"/>
  <c r="AN8" i="32"/>
  <c r="AK8" i="32"/>
  <c r="AJ8" i="32"/>
  <c r="AN7" i="32"/>
  <c r="AK7" i="32"/>
  <c r="AJ7" i="32"/>
  <c r="AN6" i="32"/>
  <c r="AK6" i="32"/>
  <c r="AJ6" i="32"/>
  <c r="AI6" i="32"/>
  <c r="AH6" i="32"/>
  <c r="AN5" i="32"/>
  <c r="AK5" i="32"/>
  <c r="AJ5" i="32"/>
  <c r="AI5" i="32"/>
  <c r="AH5" i="32"/>
  <c r="Z4" i="32"/>
  <c r="AB4" i="32" s="1"/>
  <c r="AN4" i="32"/>
  <c r="AK4" i="32"/>
  <c r="AJ4" i="32"/>
  <c r="N142" i="33"/>
  <c r="M142" i="33"/>
  <c r="N141" i="33"/>
  <c r="M141" i="33"/>
  <c r="N140" i="33"/>
  <c r="M140" i="33"/>
  <c r="N139" i="33"/>
  <c r="M139" i="33"/>
  <c r="N138" i="33"/>
  <c r="M138" i="33"/>
  <c r="N137" i="33"/>
  <c r="M137" i="33"/>
  <c r="N136" i="33"/>
  <c r="M136" i="33"/>
  <c r="N135" i="33"/>
  <c r="M135" i="33"/>
  <c r="N134" i="33"/>
  <c r="M134" i="33"/>
  <c r="N133" i="33"/>
  <c r="M133" i="33"/>
  <c r="N132" i="33"/>
  <c r="M132" i="33"/>
  <c r="N131" i="33"/>
  <c r="M131" i="33"/>
  <c r="N130" i="33"/>
  <c r="M130" i="33"/>
  <c r="N129" i="33"/>
  <c r="M129" i="33"/>
  <c r="N128" i="33"/>
  <c r="M128" i="33"/>
  <c r="N127" i="33"/>
  <c r="M127" i="33"/>
  <c r="N126" i="33"/>
  <c r="M126" i="33"/>
  <c r="Q125" i="33"/>
  <c r="S125" i="33" s="1"/>
  <c r="Q124" i="33"/>
  <c r="S124" i="33" s="1"/>
  <c r="Q123" i="33"/>
  <c r="S123" i="33" s="1"/>
  <c r="N122" i="33"/>
  <c r="M122" i="33"/>
  <c r="N121" i="33"/>
  <c r="M121" i="33"/>
  <c r="N120" i="33"/>
  <c r="M120" i="33"/>
  <c r="N119" i="33"/>
  <c r="M119" i="33"/>
  <c r="N118" i="33"/>
  <c r="M118" i="33"/>
  <c r="N117" i="33"/>
  <c r="M117" i="33"/>
  <c r="N116" i="33"/>
  <c r="M116" i="33"/>
  <c r="Q115" i="33"/>
  <c r="S115" i="33" s="1"/>
  <c r="Q114" i="33"/>
  <c r="S114" i="33" s="1"/>
  <c r="Q113" i="33"/>
  <c r="S113" i="33" s="1"/>
  <c r="N112" i="33"/>
  <c r="M112" i="33"/>
  <c r="N111" i="33"/>
  <c r="M111" i="33"/>
  <c r="N110" i="33"/>
  <c r="M110" i="33"/>
  <c r="N109" i="33"/>
  <c r="M109" i="33"/>
  <c r="N108" i="33"/>
  <c r="M108" i="33"/>
  <c r="N107" i="33"/>
  <c r="M107" i="33"/>
  <c r="N106" i="33"/>
  <c r="M106" i="33"/>
  <c r="N105" i="33"/>
  <c r="M105" i="33"/>
  <c r="N104" i="33"/>
  <c r="M104" i="33"/>
  <c r="Q103" i="33"/>
  <c r="S103" i="33" s="1"/>
  <c r="Q102" i="33"/>
  <c r="S102" i="33" s="1"/>
  <c r="Q101" i="33"/>
  <c r="S101" i="33" s="1"/>
  <c r="N100" i="33"/>
  <c r="M100" i="33"/>
  <c r="N99" i="33"/>
  <c r="M99" i="33"/>
  <c r="N98" i="33"/>
  <c r="M98" i="33"/>
  <c r="N97" i="33"/>
  <c r="M97" i="33"/>
  <c r="N96" i="33"/>
  <c r="M96" i="33"/>
  <c r="N95" i="33"/>
  <c r="M95" i="33"/>
  <c r="N94" i="33"/>
  <c r="M94" i="33"/>
  <c r="Q93" i="33"/>
  <c r="S93" i="33" s="1"/>
  <c r="Q92" i="33"/>
  <c r="S92" i="33" s="1"/>
  <c r="Q91" i="33"/>
  <c r="S91" i="33" s="1"/>
  <c r="N90" i="33"/>
  <c r="M90" i="33"/>
  <c r="N89" i="33"/>
  <c r="M89" i="33"/>
  <c r="N88" i="33"/>
  <c r="M88" i="33"/>
  <c r="N87" i="33"/>
  <c r="M87" i="33"/>
  <c r="N86" i="33"/>
  <c r="M86" i="33"/>
  <c r="N85" i="33"/>
  <c r="M85" i="33"/>
  <c r="N84" i="33"/>
  <c r="M84" i="33"/>
  <c r="N83" i="33"/>
  <c r="M83" i="33"/>
  <c r="Q82" i="33"/>
  <c r="S82" i="33" s="1"/>
  <c r="Q81" i="33"/>
  <c r="S81" i="33" s="1"/>
  <c r="Q80" i="33"/>
  <c r="S80" i="33" s="1"/>
  <c r="N79" i="33"/>
  <c r="M79" i="33"/>
  <c r="N78" i="33"/>
  <c r="M78" i="33"/>
  <c r="N77" i="33"/>
  <c r="M77" i="33"/>
  <c r="N76" i="33"/>
  <c r="M76" i="33"/>
  <c r="N75" i="33"/>
  <c r="M75" i="33"/>
  <c r="N74" i="33"/>
  <c r="M74" i="33"/>
  <c r="Q73" i="33"/>
  <c r="S73" i="33" s="1"/>
  <c r="Q72" i="33"/>
  <c r="S72" i="33" s="1"/>
  <c r="Q71" i="33"/>
  <c r="S71" i="33" s="1"/>
  <c r="N70" i="33"/>
  <c r="M70" i="33"/>
  <c r="N69" i="33"/>
  <c r="M69" i="33"/>
  <c r="N68" i="33"/>
  <c r="M68" i="33"/>
  <c r="N67" i="33"/>
  <c r="M67" i="33"/>
  <c r="N66" i="33"/>
  <c r="M66" i="33"/>
  <c r="N65" i="33"/>
  <c r="M65" i="33"/>
  <c r="N64" i="33"/>
  <c r="M64" i="33"/>
  <c r="N63" i="33"/>
  <c r="M63" i="33"/>
  <c r="Q62" i="33"/>
  <c r="S62" i="33" s="1"/>
  <c r="Q61" i="33"/>
  <c r="S61" i="33" s="1"/>
  <c r="Q60" i="33"/>
  <c r="S60" i="33" s="1"/>
  <c r="N59" i="33"/>
  <c r="M59" i="33"/>
  <c r="N58" i="33"/>
  <c r="M58" i="33"/>
  <c r="N57" i="33"/>
  <c r="M57" i="33"/>
  <c r="N56" i="33"/>
  <c r="M56" i="33"/>
  <c r="N55" i="33"/>
  <c r="M55" i="33"/>
  <c r="N54" i="33"/>
  <c r="M54" i="33"/>
  <c r="N53" i="33"/>
  <c r="M53" i="33"/>
  <c r="N52" i="33"/>
  <c r="M52" i="33"/>
  <c r="Q51" i="33"/>
  <c r="S51" i="33" s="1"/>
  <c r="Q50" i="33"/>
  <c r="S50" i="33" s="1"/>
  <c r="Q49" i="33"/>
  <c r="S49" i="33" s="1"/>
  <c r="N48" i="33"/>
  <c r="M48" i="33"/>
  <c r="N47" i="33"/>
  <c r="M47" i="33"/>
  <c r="N46" i="33"/>
  <c r="M46" i="33"/>
  <c r="N45" i="33"/>
  <c r="M45" i="33"/>
  <c r="N44" i="33"/>
  <c r="M44" i="33"/>
  <c r="N43" i="33"/>
  <c r="M43" i="33"/>
  <c r="N42" i="33"/>
  <c r="M42" i="33"/>
  <c r="N41" i="33"/>
  <c r="M41" i="33"/>
  <c r="N40" i="33"/>
  <c r="M40" i="33"/>
  <c r="N39" i="33"/>
  <c r="M39" i="33"/>
  <c r="N38" i="33"/>
  <c r="M38" i="33"/>
  <c r="N37" i="33"/>
  <c r="M37" i="33"/>
  <c r="Q36" i="33"/>
  <c r="S36" i="33" s="1"/>
  <c r="Q35" i="33"/>
  <c r="S35" i="33" s="1"/>
  <c r="Q34" i="33"/>
  <c r="S34" i="33" s="1"/>
  <c r="N33" i="33"/>
  <c r="M33" i="33"/>
  <c r="N32" i="33"/>
  <c r="M32" i="33"/>
  <c r="N31" i="33"/>
  <c r="M31" i="33"/>
  <c r="N30" i="33"/>
  <c r="M30" i="33"/>
  <c r="N29" i="33"/>
  <c r="M29" i="33"/>
  <c r="N28" i="33"/>
  <c r="M28" i="33"/>
  <c r="N27" i="33"/>
  <c r="M27" i="33"/>
  <c r="N26" i="33"/>
  <c r="M26" i="33"/>
  <c r="N25" i="33"/>
  <c r="M25" i="33"/>
  <c r="N24" i="33"/>
  <c r="M24" i="33"/>
  <c r="N23" i="33"/>
  <c r="M23" i="33"/>
  <c r="Q22" i="33"/>
  <c r="S22" i="33" s="1"/>
  <c r="Q21" i="33"/>
  <c r="S21" i="33" s="1"/>
  <c r="Q20" i="33"/>
  <c r="S20" i="33" s="1"/>
  <c r="N19" i="33"/>
  <c r="M19" i="33"/>
  <c r="N18" i="33"/>
  <c r="M18" i="33"/>
  <c r="N17" i="33"/>
  <c r="M17" i="33"/>
  <c r="N16" i="33"/>
  <c r="M16" i="33"/>
  <c r="N15" i="33"/>
  <c r="M15" i="33"/>
  <c r="N14" i="33"/>
  <c r="M14" i="33"/>
  <c r="N13" i="33"/>
  <c r="M13" i="33"/>
  <c r="N12" i="33"/>
  <c r="M12" i="33"/>
  <c r="N11" i="33"/>
  <c r="M11" i="33"/>
  <c r="H11" i="33"/>
  <c r="H12" i="33" s="1"/>
  <c r="H13" i="33" s="1"/>
  <c r="H14" i="33" s="1"/>
  <c r="H15" i="33" s="1"/>
  <c r="H16" i="33" s="1"/>
  <c r="H17" i="33" s="1"/>
  <c r="H18" i="33" s="1"/>
  <c r="H19" i="33" s="1"/>
  <c r="H20" i="33" s="1"/>
  <c r="H21" i="33" s="1"/>
  <c r="H22" i="33" s="1"/>
  <c r="H23" i="33" s="1"/>
  <c r="H24" i="33" s="1"/>
  <c r="H25" i="33" s="1"/>
  <c r="H26" i="33" s="1"/>
  <c r="H27" i="33" s="1"/>
  <c r="H28" i="33" s="1"/>
  <c r="H29" i="33" s="1"/>
  <c r="H30" i="33" s="1"/>
  <c r="H31" i="33" s="1"/>
  <c r="H32" i="33" s="1"/>
  <c r="H33" i="33" s="1"/>
  <c r="H34" i="33" s="1"/>
  <c r="H35" i="33" s="1"/>
  <c r="H36" i="33" s="1"/>
  <c r="H37" i="33" s="1"/>
  <c r="H38" i="33" s="1"/>
  <c r="H39" i="33" s="1"/>
  <c r="H40" i="33" s="1"/>
  <c r="H41" i="33" s="1"/>
  <c r="H42" i="33" s="1"/>
  <c r="H43" i="33" s="1"/>
  <c r="H44" i="33" s="1"/>
  <c r="H45" i="33" s="1"/>
  <c r="H46" i="33" s="1"/>
  <c r="H47" i="33" s="1"/>
  <c r="H48" i="33" s="1"/>
  <c r="H49" i="33" s="1"/>
  <c r="H50" i="33" s="1"/>
  <c r="H51" i="33" s="1"/>
  <c r="H52" i="33" s="1"/>
  <c r="H53" i="33" s="1"/>
  <c r="H54" i="33" s="1"/>
  <c r="H55" i="33" s="1"/>
  <c r="H56" i="33" s="1"/>
  <c r="H57" i="33" s="1"/>
  <c r="H58" i="33" s="1"/>
  <c r="H59" i="33" s="1"/>
  <c r="H60" i="33" s="1"/>
  <c r="H61" i="33" s="1"/>
  <c r="H62" i="33" s="1"/>
  <c r="H63" i="33" s="1"/>
  <c r="H64" i="33" s="1"/>
  <c r="H65" i="33" s="1"/>
  <c r="H66" i="33" s="1"/>
  <c r="H67" i="33" s="1"/>
  <c r="H68" i="33" s="1"/>
  <c r="H69" i="33" s="1"/>
  <c r="H70" i="33" s="1"/>
  <c r="H71" i="33" s="1"/>
  <c r="H72" i="33" s="1"/>
  <c r="H73" i="33" s="1"/>
  <c r="H74" i="33" s="1"/>
  <c r="H75" i="33" s="1"/>
  <c r="H76" i="33" s="1"/>
  <c r="H77" i="33" s="1"/>
  <c r="H78" i="33" s="1"/>
  <c r="H79" i="33" s="1"/>
  <c r="H80" i="33" s="1"/>
  <c r="H81" i="33" s="1"/>
  <c r="H82" i="33" s="1"/>
  <c r="H83" i="33" s="1"/>
  <c r="H84" i="33" s="1"/>
  <c r="H85" i="33" s="1"/>
  <c r="H86" i="33" s="1"/>
  <c r="H87" i="33" s="1"/>
  <c r="H88" i="33" s="1"/>
  <c r="H89" i="33" s="1"/>
  <c r="H90" i="33" s="1"/>
  <c r="H91" i="33" s="1"/>
  <c r="H92" i="33" s="1"/>
  <c r="H93" i="33" s="1"/>
  <c r="H94" i="33" s="1"/>
  <c r="H95" i="33" s="1"/>
  <c r="H96" i="33" s="1"/>
  <c r="H97" i="33" s="1"/>
  <c r="H98" i="33" s="1"/>
  <c r="H99" i="33" s="1"/>
  <c r="H100" i="33" s="1"/>
  <c r="H101" i="33" s="1"/>
  <c r="H102" i="33" s="1"/>
  <c r="H103" i="33" s="1"/>
  <c r="H104" i="33" s="1"/>
  <c r="H105" i="33" s="1"/>
  <c r="H106" i="33" s="1"/>
  <c r="H107" i="33" s="1"/>
  <c r="H108" i="33" s="1"/>
  <c r="H109" i="33" s="1"/>
  <c r="H110" i="33" s="1"/>
  <c r="H111" i="33" s="1"/>
  <c r="H112" i="33" s="1"/>
  <c r="H113" i="33" s="1"/>
  <c r="H114" i="33" s="1"/>
  <c r="H115" i="33" s="1"/>
  <c r="H116" i="33" s="1"/>
  <c r="H117" i="33" s="1"/>
  <c r="H118" i="33" s="1"/>
  <c r="H119" i="33" s="1"/>
  <c r="H120" i="33" s="1"/>
  <c r="H121" i="33" s="1"/>
  <c r="H122" i="33" s="1"/>
  <c r="H123" i="33" s="1"/>
  <c r="H124" i="33" s="1"/>
  <c r="H125" i="33" s="1"/>
  <c r="H126" i="33" s="1"/>
  <c r="H127" i="33" s="1"/>
  <c r="H128" i="33" s="1"/>
  <c r="H129" i="33" s="1"/>
  <c r="H130" i="33" s="1"/>
  <c r="H131" i="33" s="1"/>
  <c r="H132" i="33" s="1"/>
  <c r="H133" i="33" s="1"/>
  <c r="H134" i="33" s="1"/>
  <c r="H135" i="33" s="1"/>
  <c r="H136" i="33" s="1"/>
  <c r="H137" i="33" s="1"/>
  <c r="H138" i="33" s="1"/>
  <c r="H139" i="33" s="1"/>
  <c r="H140" i="33" s="1"/>
  <c r="H141" i="33" s="1"/>
  <c r="H142" i="33" s="1"/>
  <c r="N10" i="33"/>
  <c r="M10" i="33"/>
  <c r="Q9" i="33"/>
  <c r="S9" i="33" s="1"/>
  <c r="Q8" i="33"/>
  <c r="S8" i="33" s="1"/>
  <c r="Q7" i="33"/>
  <c r="S7" i="33" s="1"/>
  <c r="Q6" i="33"/>
  <c r="S6" i="33" s="1"/>
  <c r="Q5" i="33"/>
  <c r="S5" i="33" s="1"/>
  <c r="Q4" i="33"/>
  <c r="S4" i="33" s="1"/>
  <c r="Q3" i="33"/>
  <c r="S3" i="33" s="1"/>
  <c r="Q2" i="33"/>
  <c r="S2" i="33" s="1"/>
  <c r="Q1" i="33"/>
  <c r="S1" i="33" s="1"/>
  <c r="AG99" i="32"/>
  <c r="Y99" i="32" s="1"/>
  <c r="AE99" i="32" s="1" a="1"/>
  <c r="AE99" i="32" s="1"/>
  <c r="AG98" i="32"/>
  <c r="Y98" i="32" s="1"/>
  <c r="AG97" i="32"/>
  <c r="Y97" i="32" s="1"/>
  <c r="AG96" i="32"/>
  <c r="Y96" i="32" s="1"/>
  <c r="AC96" i="32" s="1" a="1"/>
  <c r="AC96" i="32" s="1"/>
  <c r="AG95" i="32"/>
  <c r="Y95" i="32" s="1"/>
  <c r="AC95" i="32" s="1" a="1"/>
  <c r="AC95" i="32" s="1"/>
  <c r="AG94" i="32"/>
  <c r="Y94" i="32" s="1"/>
  <c r="Z94" i="32" s="1"/>
  <c r="AG93" i="32"/>
  <c r="Y93" i="32" s="1"/>
  <c r="AC93" i="32" s="1" a="1"/>
  <c r="AC93" i="32" s="1"/>
  <c r="AG92" i="32"/>
  <c r="Y92" i="32" s="1"/>
  <c r="AG91" i="32"/>
  <c r="Y91" i="32" s="1"/>
  <c r="Z91" i="32" s="1"/>
  <c r="AD91" i="32" s="1" a="1"/>
  <c r="AD91" i="32" s="1"/>
  <c r="AG90" i="32"/>
  <c r="U40" i="32" s="1"/>
  <c r="AG89" i="32"/>
  <c r="Y89" i="32" s="1"/>
  <c r="AG88" i="32"/>
  <c r="Y88" i="32" s="1"/>
  <c r="AG87" i="32"/>
  <c r="Y87" i="32" s="1"/>
  <c r="AE87" i="32" s="1" a="1"/>
  <c r="AE87" i="32" s="1"/>
  <c r="AG86" i="32"/>
  <c r="Y86" i="32" s="1"/>
  <c r="AG85" i="32"/>
  <c r="Y85" i="32" s="1"/>
  <c r="AC85" i="32" s="1" a="1"/>
  <c r="AC85" i="32" s="1"/>
  <c r="AG84" i="32"/>
  <c r="Y84" i="32" s="1"/>
  <c r="AG83" i="32"/>
  <c r="Y83" i="32" s="1"/>
  <c r="Z83" i="32" s="1"/>
  <c r="AG82" i="32"/>
  <c r="AG81" i="32"/>
  <c r="Y81" i="32" s="1"/>
  <c r="AC81" i="32" s="1" a="1"/>
  <c r="AC81" i="32" s="1"/>
  <c r="AG80" i="32"/>
  <c r="Y80" i="32"/>
  <c r="AG79" i="32"/>
  <c r="Y79" i="32" s="1"/>
  <c r="S79" i="32"/>
  <c r="AG78" i="32"/>
  <c r="Y78" i="32" s="1"/>
  <c r="AC78" i="32" s="1" a="1"/>
  <c r="AC78" i="32" s="1"/>
  <c r="U78" i="32"/>
  <c r="Y72" i="32"/>
  <c r="Z72" i="32" s="1"/>
  <c r="AD72" i="32" s="1" a="1"/>
  <c r="AD72" i="32" s="1"/>
  <c r="Y71" i="32"/>
  <c r="AE71" i="32" s="1" a="1"/>
  <c r="AE71" i="32" s="1"/>
  <c r="Y70" i="32"/>
  <c r="AC70" i="32" s="1" a="1"/>
  <c r="AC70" i="32" s="1"/>
  <c r="AK69" i="32"/>
  <c r="AI69" i="32"/>
  <c r="AH69" i="32"/>
  <c r="Y69" i="32"/>
  <c r="Z69" i="32" s="1"/>
  <c r="AD69" i="32" s="1" a="1"/>
  <c r="AD69" i="32" s="1"/>
  <c r="Y68" i="32"/>
  <c r="Z68" i="32" s="1"/>
  <c r="Y67" i="32"/>
  <c r="Z67" i="32" s="1"/>
  <c r="Y66" i="32"/>
  <c r="Z66" i="32" s="1"/>
  <c r="AD66" i="32" s="1" a="1"/>
  <c r="AD66" i="32" s="1"/>
  <c r="AK65" i="32"/>
  <c r="AI65" i="32"/>
  <c r="AH65" i="32"/>
  <c r="Y65" i="32"/>
  <c r="Z65" i="32" s="1"/>
  <c r="AD65" i="32" s="1" a="1"/>
  <c r="AD65" i="32" s="1"/>
  <c r="Y64" i="32"/>
  <c r="AE64" i="32" s="1" a="1"/>
  <c r="AE64" i="32" s="1"/>
  <c r="Y63" i="32"/>
  <c r="Z63" i="32" s="1"/>
  <c r="Y62" i="32"/>
  <c r="Z62" i="32" s="1"/>
  <c r="AK61" i="32"/>
  <c r="AI61" i="32"/>
  <c r="AH61" i="32"/>
  <c r="Y61" i="32"/>
  <c r="AC61" i="32" s="1" a="1"/>
  <c r="AC61" i="32" s="1"/>
  <c r="Y60" i="32"/>
  <c r="Z60" i="32" s="1"/>
  <c r="AB60" i="32" s="1" a="1"/>
  <c r="AB60" i="32" s="1"/>
  <c r="Y59" i="32"/>
  <c r="AC59" i="32" s="1" a="1"/>
  <c r="AC59" i="32" s="1"/>
  <c r="Y58" i="32"/>
  <c r="Z58" i="32" s="1"/>
  <c r="AD58" i="32" s="1" a="1"/>
  <c r="AD58" i="32" s="1"/>
  <c r="U38" i="32"/>
  <c r="Z38" i="32" s="1"/>
  <c r="U33" i="32"/>
  <c r="Z33" i="32" s="1"/>
  <c r="U32" i="32"/>
  <c r="U30" i="32"/>
  <c r="Q29" i="32"/>
  <c r="AS28" i="32"/>
  <c r="W23" i="32"/>
  <c r="AI23" i="32" s="1"/>
  <c r="V23" i="32"/>
  <c r="AH23" i="32" s="1"/>
  <c r="S23" i="32"/>
  <c r="R23" i="32"/>
  <c r="Q23" i="32" s="1"/>
  <c r="S22" i="32"/>
  <c r="R22" i="32"/>
  <c r="Q22" i="32" s="1"/>
  <c r="W21" i="32"/>
  <c r="AI21" i="32" s="1"/>
  <c r="V21" i="32"/>
  <c r="AH21" i="32" s="1"/>
  <c r="S21" i="32"/>
  <c r="W20" i="32"/>
  <c r="AI20" i="32" s="1"/>
  <c r="V20" i="32"/>
  <c r="AH20" i="32" s="1"/>
  <c r="R20" i="32"/>
  <c r="Q20" i="32" s="1"/>
  <c r="W19" i="32"/>
  <c r="AI19" i="32" s="1"/>
  <c r="V19" i="32"/>
  <c r="AH19" i="32" s="1"/>
  <c r="S19" i="32"/>
  <c r="R19" i="32"/>
  <c r="Q19" i="32" s="1"/>
  <c r="S18" i="32"/>
  <c r="W17" i="32"/>
  <c r="AI17" i="32" s="1"/>
  <c r="V17" i="32"/>
  <c r="AH17" i="32" s="1"/>
  <c r="W16" i="32"/>
  <c r="AI16" i="32" s="1"/>
  <c r="V16" i="32"/>
  <c r="AH16" i="32" s="1"/>
  <c r="W15" i="32"/>
  <c r="AI15" i="32" s="1"/>
  <c r="V15" i="32"/>
  <c r="AH15" i="32" s="1"/>
  <c r="S15" i="32"/>
  <c r="R15" i="32"/>
  <c r="Q15" i="32" s="1"/>
  <c r="S14" i="32"/>
  <c r="R14" i="32"/>
  <c r="Q14" i="32" s="1"/>
  <c r="S13" i="32"/>
  <c r="S12" i="32"/>
  <c r="R12" i="32"/>
  <c r="Q12" i="32" s="1"/>
  <c r="S11" i="32"/>
  <c r="R11" i="32"/>
  <c r="Q11" i="32" s="1"/>
  <c r="L11" i="32"/>
  <c r="K11" i="32" s="1"/>
  <c r="S10" i="32"/>
  <c r="R10" i="32"/>
  <c r="Q10" i="32" s="1"/>
  <c r="O10" i="32"/>
  <c r="K10" i="32"/>
  <c r="W9" i="32"/>
  <c r="AI9" i="32" s="1"/>
  <c r="V9" i="32"/>
  <c r="AH9" i="32" s="1"/>
  <c r="S9" i="32"/>
  <c r="O9" i="32"/>
  <c r="K9" i="32"/>
  <c r="W8" i="32"/>
  <c r="AI8" i="32" s="1"/>
  <c r="V8" i="32"/>
  <c r="AH8" i="32" s="1"/>
  <c r="R8" i="32"/>
  <c r="Q8" i="32" s="1"/>
  <c r="O8" i="32"/>
  <c r="K8" i="32"/>
  <c r="W7" i="32"/>
  <c r="AI7" i="32" s="1"/>
  <c r="V7" i="32"/>
  <c r="AH7" i="32" s="1"/>
  <c r="S7" i="32"/>
  <c r="R7" i="32"/>
  <c r="Q7" i="32" s="1"/>
  <c r="O7" i="32"/>
  <c r="K7" i="32"/>
  <c r="G8" i="32" s="1"/>
  <c r="S6" i="32"/>
  <c r="O6" i="32"/>
  <c r="K6" i="32"/>
  <c r="S5" i="32"/>
  <c r="K5" i="32"/>
  <c r="W4" i="32"/>
  <c r="AI4" i="32" s="1"/>
  <c r="V4" i="32"/>
  <c r="AH4" i="32" s="1"/>
  <c r="S4" i="32"/>
  <c r="L4" i="32"/>
  <c r="K4" i="32" s="1"/>
  <c r="BK3" i="6"/>
  <c r="BK4" i="6" s="1"/>
  <c r="BJ3" i="6"/>
  <c r="BJ4" i="6" s="1"/>
  <c r="BJ5" i="6" s="1"/>
  <c r="BJ6" i="6" s="1"/>
  <c r="BJ7" i="6" s="1"/>
  <c r="BJ8" i="6" s="1"/>
  <c r="BJ9" i="6" s="1"/>
  <c r="BJ10" i="6" s="1"/>
  <c r="BJ11" i="6" s="1"/>
  <c r="BJ12" i="6" s="1"/>
  <c r="BJ13" i="6" s="1"/>
  <c r="BJ14" i="6" s="1"/>
  <c r="BJ15" i="6" s="1"/>
  <c r="BJ16" i="6" s="1"/>
  <c r="BJ17" i="6" s="1"/>
  <c r="BJ18" i="6" s="1"/>
  <c r="BJ19" i="6" s="1"/>
  <c r="BJ20" i="6" s="1"/>
  <c r="BJ21" i="6" s="1"/>
  <c r="BJ22" i="6" s="1"/>
  <c r="BJ23" i="6" s="1"/>
  <c r="BJ24" i="6" s="1"/>
  <c r="BJ25" i="6" s="1"/>
  <c r="BJ26" i="6" s="1"/>
  <c r="BJ27" i="6" s="1"/>
  <c r="BJ28" i="6" s="1"/>
  <c r="BJ29" i="6" s="1"/>
  <c r="BJ30" i="6" s="1"/>
  <c r="BJ31" i="6" s="1"/>
  <c r="BJ32" i="6" s="1"/>
  <c r="BJ33" i="6" s="1"/>
  <c r="BJ34" i="6" s="1"/>
  <c r="BM2" i="6"/>
  <c r="BN2" i="6" s="1"/>
  <c r="BL2" i="6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CL12" i="1"/>
  <c r="CL16" i="1" s="1"/>
  <c r="BR12" i="1"/>
  <c r="BR16" i="1" s="1"/>
  <c r="E12" i="1"/>
  <c r="CL11" i="1"/>
  <c r="CM11" i="1" s="1"/>
  <c r="CN11" i="1" s="1"/>
  <c r="BR11" i="1"/>
  <c r="BR15" i="1" s="1"/>
  <c r="E11" i="1"/>
  <c r="CL10" i="1"/>
  <c r="CL14" i="1" s="1"/>
  <c r="BR10" i="1"/>
  <c r="BR14" i="1" s="1"/>
  <c r="E10" i="1"/>
  <c r="CL9" i="1"/>
  <c r="CL13" i="1" s="1"/>
  <c r="BR9" i="1"/>
  <c r="BR13" i="1" s="1"/>
  <c r="E9" i="1"/>
  <c r="CM8" i="1"/>
  <c r="CN8" i="1" s="1"/>
  <c r="BS8" i="1"/>
  <c r="BT8" i="1" s="1"/>
  <c r="E8" i="1"/>
  <c r="CM7" i="1"/>
  <c r="CN7" i="1" s="1"/>
  <c r="BS7" i="1"/>
  <c r="BT7" i="1" s="1"/>
  <c r="E7" i="1"/>
  <c r="CM6" i="1"/>
  <c r="CN6" i="1" s="1"/>
  <c r="BS6" i="1"/>
  <c r="BT6" i="1" s="1"/>
  <c r="E6" i="1"/>
  <c r="CM5" i="1"/>
  <c r="BS5" i="1"/>
  <c r="E5" i="1"/>
  <c r="CM4" i="1"/>
  <c r="CN4" i="1" s="1"/>
  <c r="BS4" i="1"/>
  <c r="BT4" i="1" s="1"/>
  <c r="E4" i="1"/>
  <c r="CM3" i="1"/>
  <c r="CN3" i="1" s="1"/>
  <c r="BS3" i="1"/>
  <c r="BT3" i="1" s="1"/>
  <c r="E3" i="1"/>
  <c r="F3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CM2" i="1"/>
  <c r="CN2" i="1" s="1"/>
  <c r="BS2" i="1"/>
  <c r="BT2" i="1" s="1"/>
  <c r="CM1" i="1"/>
  <c r="BS1" i="1"/>
  <c r="BS12" i="1" l="1"/>
  <c r="BT12" i="1" s="1"/>
  <c r="AL20" i="32"/>
  <c r="AE69" i="32" a="1"/>
  <c r="AE69" i="32" s="1"/>
  <c r="U41" i="32"/>
  <c r="Z41" i="32" s="1"/>
  <c r="AA41" i="32" s="1"/>
  <c r="F2" i="2"/>
  <c r="AL21" i="32"/>
  <c r="U48" i="32"/>
  <c r="Z48" i="32" s="1"/>
  <c r="AB48" i="32" s="1" a="1"/>
  <c r="AB48" i="32" s="1"/>
  <c r="AH8" i="2"/>
  <c r="AH7" i="5" s="1"/>
  <c r="AH7" i="6" s="1"/>
  <c r="AY8" i="6" s="1"/>
  <c r="AL15" i="32"/>
  <c r="U49" i="32"/>
  <c r="Z2" i="2"/>
  <c r="V2" i="2"/>
  <c r="U37" i="32"/>
  <c r="V4" i="2"/>
  <c r="V3" i="5" s="1"/>
  <c r="V3" i="6" s="1"/>
  <c r="BB4" i="6" s="1"/>
  <c r="AJ8" i="2"/>
  <c r="AJ7" i="5" s="1"/>
  <c r="AB4" i="2"/>
  <c r="AB3" i="5" s="1"/>
  <c r="AB3" i="6" s="1"/>
  <c r="J4" i="2"/>
  <c r="J3" i="5" s="1"/>
  <c r="J3" i="6" s="1"/>
  <c r="BE4" i="6" s="1"/>
  <c r="AO21" i="32"/>
  <c r="AM5" i="5"/>
  <c r="AM5" i="6" s="1"/>
  <c r="AM7" i="2"/>
  <c r="AD4" i="32"/>
  <c r="AB8" i="2"/>
  <c r="AB7" i="5" s="1"/>
  <c r="AB7" i="6" s="1"/>
  <c r="AN4" i="2"/>
  <c r="AN3" i="5" s="1"/>
  <c r="AN3" i="6" s="1"/>
  <c r="AO8" i="2"/>
  <c r="AO7" i="5" s="1"/>
  <c r="AO7" i="6" s="1"/>
  <c r="AS8" i="2"/>
  <c r="AS7" i="5" s="1"/>
  <c r="AF72" i="32" a="1"/>
  <c r="AF72" i="32" s="1"/>
  <c r="J8" i="2"/>
  <c r="J7" i="5" s="1"/>
  <c r="J7" i="6" s="1"/>
  <c r="BE8" i="6" s="1"/>
  <c r="AD8" i="2"/>
  <c r="AD7" i="5" s="1"/>
  <c r="AD7" i="6" s="1"/>
  <c r="AZ8" i="6" s="1"/>
  <c r="AO4" i="2"/>
  <c r="AO3" i="5" s="1"/>
  <c r="AT8" i="2"/>
  <c r="AT7" i="5" s="1"/>
  <c r="AT7" i="6" s="1"/>
  <c r="AV8" i="6" s="1"/>
  <c r="AN5" i="5"/>
  <c r="AN5" i="6" s="1"/>
  <c r="U31" i="32"/>
  <c r="Z31" i="32" s="1"/>
  <c r="AB31" i="32" s="1" a="1"/>
  <c r="AB31" i="32" s="1"/>
  <c r="U44" i="32"/>
  <c r="Z44" i="32" s="1"/>
  <c r="AD44" i="32" s="1" a="1"/>
  <c r="AD44" i="32" s="1"/>
  <c r="L8" i="2"/>
  <c r="L7" i="5" s="1"/>
  <c r="T8" i="2"/>
  <c r="T7" i="5" s="1"/>
  <c r="AG4" i="2"/>
  <c r="AG3" i="5" s="1"/>
  <c r="AG3" i="6" s="1"/>
  <c r="AP4" i="2"/>
  <c r="AP3" i="5" s="1"/>
  <c r="AP3" i="6" s="1"/>
  <c r="AW4" i="6" s="1"/>
  <c r="AJ4" i="5"/>
  <c r="O12" i="32"/>
  <c r="U46" i="32"/>
  <c r="Z46" i="32" s="1"/>
  <c r="M4" i="2"/>
  <c r="M3" i="5" s="1"/>
  <c r="N8" i="2"/>
  <c r="N7" i="5" s="1"/>
  <c r="N7" i="6" s="1"/>
  <c r="BD8" i="6" s="1"/>
  <c r="AH4" i="2"/>
  <c r="AH3" i="5" s="1"/>
  <c r="AH3" i="6" s="1"/>
  <c r="AY4" i="6" s="1"/>
  <c r="D8" i="2"/>
  <c r="D7" i="5" s="1"/>
  <c r="D7" i="6" s="1"/>
  <c r="BS10" i="1"/>
  <c r="BT10" i="1" s="1"/>
  <c r="U35" i="32"/>
  <c r="Z35" i="32" s="1"/>
  <c r="D4" i="2"/>
  <c r="D3" i="5" s="1"/>
  <c r="D3" i="6" s="1"/>
  <c r="I4" i="2"/>
  <c r="I3" i="5" s="1"/>
  <c r="I3" i="6" s="1"/>
  <c r="AF8" i="2"/>
  <c r="AF7" i="5" s="1"/>
  <c r="AJ6" i="5"/>
  <c r="AM7" i="32"/>
  <c r="AB58" i="32" a="1"/>
  <c r="AB58" i="32" s="1"/>
  <c r="AA4" i="32"/>
  <c r="AE4" i="32" s="1"/>
  <c r="AL12" i="32"/>
  <c r="G6" i="2"/>
  <c r="G5" i="5" s="1"/>
  <c r="G5" i="6" s="1"/>
  <c r="M4" i="6"/>
  <c r="P4" i="6"/>
  <c r="T4" i="2"/>
  <c r="T3" i="5" s="1"/>
  <c r="Y4" i="2"/>
  <c r="Y3" i="5" s="1"/>
  <c r="Y3" i="6" s="1"/>
  <c r="AA6" i="2"/>
  <c r="AG8" i="2"/>
  <c r="AG7" i="5" s="1"/>
  <c r="AR8" i="2"/>
  <c r="AR7" i="5" s="1"/>
  <c r="AR7" i="6" s="1"/>
  <c r="AL18" i="32"/>
  <c r="AM15" i="32"/>
  <c r="AL19" i="32"/>
  <c r="AL9" i="32"/>
  <c r="AL14" i="32"/>
  <c r="AM16" i="32"/>
  <c r="AM18" i="32"/>
  <c r="AG5" i="6"/>
  <c r="D6" i="6"/>
  <c r="AM9" i="32"/>
  <c r="AL16" i="32"/>
  <c r="AM19" i="32"/>
  <c r="AM5" i="32"/>
  <c r="L7" i="6"/>
  <c r="AM21" i="32"/>
  <c r="H1" i="33"/>
  <c r="E135" i="33" s="1"/>
  <c r="AL13" i="32"/>
  <c r="AB4" i="6"/>
  <c r="AL11" i="32"/>
  <c r="AL4" i="32"/>
  <c r="AL61" i="32"/>
  <c r="AL5" i="32"/>
  <c r="AL8" i="32"/>
  <c r="AM11" i="32"/>
  <c r="M3" i="6"/>
  <c r="T4" i="6"/>
  <c r="Y4" i="6"/>
  <c r="H2" i="33"/>
  <c r="F76" i="33" s="1"/>
  <c r="AM6" i="32"/>
  <c r="AS5" i="6"/>
  <c r="AM14" i="32"/>
  <c r="AM12" i="32"/>
  <c r="AM4" i="32"/>
  <c r="X3" i="6"/>
  <c r="AS4" i="6"/>
  <c r="AM17" i="32"/>
  <c r="AM20" i="32"/>
  <c r="AL23" i="32"/>
  <c r="AL10" i="32"/>
  <c r="AM13" i="32"/>
  <c r="AL17" i="32"/>
  <c r="AJ6" i="6"/>
  <c r="AM8" i="32"/>
  <c r="D5" i="6"/>
  <c r="U6" i="6"/>
  <c r="AL7" i="32"/>
  <c r="AM23" i="32"/>
  <c r="AL6" i="32"/>
  <c r="AM10" i="32"/>
  <c r="AL22" i="32"/>
  <c r="M5" i="6"/>
  <c r="X6" i="6"/>
  <c r="AE61" i="32" a="1"/>
  <c r="AE61" i="32" s="1"/>
  <c r="U29" i="32"/>
  <c r="Z29" i="32" s="1"/>
  <c r="U36" i="32"/>
  <c r="Z36" i="32" s="1"/>
  <c r="AD36" i="32" s="1" a="1"/>
  <c r="AD36" i="32" s="1"/>
  <c r="U45" i="32"/>
  <c r="Z45" i="32" s="1"/>
  <c r="AD45" i="32" s="1" a="1"/>
  <c r="AD45" i="32" s="1"/>
  <c r="E6" i="6"/>
  <c r="H4" i="2"/>
  <c r="H3" i="5" s="1"/>
  <c r="H3" i="6" s="1"/>
  <c r="I6" i="6"/>
  <c r="L4" i="2"/>
  <c r="L3" i="5" s="1"/>
  <c r="L3" i="6" s="1"/>
  <c r="P6" i="5"/>
  <c r="P6" i="6" s="1"/>
  <c r="P8" i="2"/>
  <c r="P7" i="5" s="1"/>
  <c r="P7" i="6" s="1"/>
  <c r="U8" i="2"/>
  <c r="U7" i="5" s="1"/>
  <c r="U7" i="6" s="1"/>
  <c r="Y5" i="6"/>
  <c r="AD4" i="5"/>
  <c r="AD4" i="6" s="1"/>
  <c r="AZ5" i="6" s="1"/>
  <c r="AD4" i="2"/>
  <c r="AD3" i="5" s="1"/>
  <c r="AD3" i="6" s="1"/>
  <c r="AZ4" i="6" s="1"/>
  <c r="AI6" i="2"/>
  <c r="AJ5" i="5"/>
  <c r="AJ5" i="6" s="1"/>
  <c r="AR4" i="2"/>
  <c r="AR3" i="5" s="1"/>
  <c r="AR3" i="6" s="1"/>
  <c r="AR6" i="6"/>
  <c r="L6" i="5"/>
  <c r="L6" i="6" s="1"/>
  <c r="AE78" i="32" a="1"/>
  <c r="AE78" i="32" s="1"/>
  <c r="E5" i="6"/>
  <c r="I5" i="6"/>
  <c r="O6" i="2"/>
  <c r="AB5" i="6"/>
  <c r="AG4" i="6"/>
  <c r="AJ3" i="6"/>
  <c r="AJ7" i="6"/>
  <c r="AN4" i="6"/>
  <c r="AS3" i="6"/>
  <c r="X5" i="6"/>
  <c r="AJ4" i="6"/>
  <c r="BS11" i="1"/>
  <c r="BT11" i="1" s="1"/>
  <c r="AM22" i="32"/>
  <c r="F6" i="5"/>
  <c r="F6" i="6" s="1"/>
  <c r="BF7" i="6" s="1"/>
  <c r="F8" i="2"/>
  <c r="F7" i="5" s="1"/>
  <c r="F7" i="6" s="1"/>
  <c r="BF8" i="6" s="1"/>
  <c r="L5" i="5"/>
  <c r="L5" i="6" s="1"/>
  <c r="K6" i="2"/>
  <c r="Q6" i="6"/>
  <c r="T3" i="6"/>
  <c r="U4" i="5"/>
  <c r="U4" i="6" s="1"/>
  <c r="U4" i="2"/>
  <c r="U3" i="5" s="1"/>
  <c r="U3" i="6" s="1"/>
  <c r="W7" i="2"/>
  <c r="AC6" i="6"/>
  <c r="AK5" i="6"/>
  <c r="AO3" i="6"/>
  <c r="AO5" i="6"/>
  <c r="AR5" i="6"/>
  <c r="AS7" i="6"/>
  <c r="P5" i="5"/>
  <c r="P5" i="6" s="1"/>
  <c r="L4" i="6"/>
  <c r="I4" i="6"/>
  <c r="AK6" i="6"/>
  <c r="C6" i="2"/>
  <c r="M8" i="2"/>
  <c r="M7" i="5" s="1"/>
  <c r="M7" i="6" s="1"/>
  <c r="Q5" i="6"/>
  <c r="V8" i="2"/>
  <c r="V7" i="5" s="1"/>
  <c r="V7" i="6" s="1"/>
  <c r="BB8" i="6" s="1"/>
  <c r="V6" i="5"/>
  <c r="V6" i="6" s="1"/>
  <c r="BB7" i="6" s="1"/>
  <c r="AF6" i="6"/>
  <c r="AK4" i="6"/>
  <c r="AO4" i="6"/>
  <c r="AB6" i="6"/>
  <c r="U5" i="6"/>
  <c r="Z61" i="32"/>
  <c r="AD61" i="32" s="1" a="1"/>
  <c r="AD61" i="32" s="1"/>
  <c r="AA61" i="32" a="1"/>
  <c r="AA61" i="32" s="1"/>
  <c r="H6" i="6"/>
  <c r="M6" i="6"/>
  <c r="Q4" i="2"/>
  <c r="Q3" i="5" s="1"/>
  <c r="Q3" i="6" s="1"/>
  <c r="Q4" i="5"/>
  <c r="Q4" i="6" s="1"/>
  <c r="X8" i="2"/>
  <c r="X7" i="5" s="1"/>
  <c r="X7" i="6" s="1"/>
  <c r="AC4" i="6"/>
  <c r="AM6" i="5"/>
  <c r="AM6" i="6" s="1"/>
  <c r="AM8" i="2"/>
  <c r="AM7" i="5" s="1"/>
  <c r="AM7" i="6" s="1"/>
  <c r="AP8" i="2"/>
  <c r="AP7" i="5" s="1"/>
  <c r="AP7" i="6" s="1"/>
  <c r="AW8" i="6" s="1"/>
  <c r="AP6" i="5"/>
  <c r="AP6" i="6" s="1"/>
  <c r="AW7" i="6" s="1"/>
  <c r="AS6" i="6"/>
  <c r="H5" i="6"/>
  <c r="A14" i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6" i="2"/>
  <c r="BL3" i="6"/>
  <c r="U50" i="32"/>
  <c r="Z50" i="32" s="1"/>
  <c r="AD50" i="32" s="1" a="1"/>
  <c r="AD50" i="32" s="1"/>
  <c r="O16" i="32"/>
  <c r="U42" i="32"/>
  <c r="Z42" i="32" s="1"/>
  <c r="AB42" i="32" s="1" a="1"/>
  <c r="AB42" i="32" s="1"/>
  <c r="U34" i="32"/>
  <c r="U43" i="32"/>
  <c r="AA69" i="32" a="1"/>
  <c r="AA69" i="32" s="1"/>
  <c r="AA72" i="32" a="1"/>
  <c r="AA72" i="32" s="1"/>
  <c r="I8" i="2"/>
  <c r="I7" i="5" s="1"/>
  <c r="I7" i="6" s="1"/>
  <c r="R8" i="2"/>
  <c r="R7" i="5" s="1"/>
  <c r="R7" i="6" s="1"/>
  <c r="BC8" i="6" s="1"/>
  <c r="R6" i="5"/>
  <c r="R6" i="6" s="1"/>
  <c r="BC7" i="6" s="1"/>
  <c r="AT2" i="2"/>
  <c r="N2" i="2"/>
  <c r="AH2" i="2"/>
  <c r="X4" i="5"/>
  <c r="AP2" i="2"/>
  <c r="J2" i="2"/>
  <c r="AD2" i="2"/>
  <c r="R2" i="2"/>
  <c r="Y8" i="2"/>
  <c r="Y7" i="5" s="1"/>
  <c r="Y7" i="6" s="1"/>
  <c r="AF4" i="2"/>
  <c r="AF3" i="5" s="1"/>
  <c r="AF3" i="6" s="1"/>
  <c r="AL2" i="2"/>
  <c r="T6" i="6"/>
  <c r="D4" i="5"/>
  <c r="E4" i="6"/>
  <c r="N4" i="5"/>
  <c r="N4" i="6" s="1"/>
  <c r="BD5" i="6" s="1"/>
  <c r="N4" i="2"/>
  <c r="N3" i="5" s="1"/>
  <c r="N3" i="6" s="1"/>
  <c r="BD4" i="6" s="1"/>
  <c r="H4" i="6"/>
  <c r="J1" i="5"/>
  <c r="T5" i="6"/>
  <c r="T7" i="6"/>
  <c r="Y6" i="6"/>
  <c r="AA7" i="2"/>
  <c r="AA5" i="5"/>
  <c r="AA5" i="6" s="1"/>
  <c r="AG7" i="6"/>
  <c r="AN6" i="6"/>
  <c r="AF7" i="6"/>
  <c r="AF5" i="6"/>
  <c r="AR4" i="6"/>
  <c r="E8" i="2"/>
  <c r="E7" i="5" s="1"/>
  <c r="E7" i="6" s="1"/>
  <c r="S6" i="2"/>
  <c r="Z8" i="2"/>
  <c r="Z7" i="5" s="1"/>
  <c r="Z7" i="6" s="1"/>
  <c r="BA8" i="6" s="1"/>
  <c r="AK8" i="2"/>
  <c r="AK7" i="5" s="1"/>
  <c r="AK7" i="6" s="1"/>
  <c r="AT4" i="2"/>
  <c r="AT3" i="5" s="1"/>
  <c r="AT3" i="6" s="1"/>
  <c r="AV4" i="6" s="1"/>
  <c r="Z4" i="5"/>
  <c r="Z4" i="6" s="1"/>
  <c r="BA5" i="6" s="1"/>
  <c r="E4" i="2"/>
  <c r="E3" i="5" s="1"/>
  <c r="E3" i="6" s="1"/>
  <c r="P4" i="2"/>
  <c r="P3" i="5" s="1"/>
  <c r="P3" i="6" s="1"/>
  <c r="Q8" i="2"/>
  <c r="Q7" i="5" s="1"/>
  <c r="Q7" i="6" s="1"/>
  <c r="AE6" i="2"/>
  <c r="AK4" i="2"/>
  <c r="AK3" i="5" s="1"/>
  <c r="AK3" i="6" s="1"/>
  <c r="AL8" i="2"/>
  <c r="AL7" i="5" s="1"/>
  <c r="AL7" i="6" s="1"/>
  <c r="AX8" i="6" s="1"/>
  <c r="AO6" i="5"/>
  <c r="AO6" i="6" s="1"/>
  <c r="AG6" i="5"/>
  <c r="AG6" i="6" s="1"/>
  <c r="AC5" i="5"/>
  <c r="AC5" i="6" s="1"/>
  <c r="F4" i="2"/>
  <c r="F3" i="5" s="1"/>
  <c r="F3" i="6" s="1"/>
  <c r="BF4" i="6" s="1"/>
  <c r="H8" i="2"/>
  <c r="H7" i="5" s="1"/>
  <c r="H7" i="6" s="1"/>
  <c r="AC8" i="2"/>
  <c r="AC7" i="5" s="1"/>
  <c r="AC7" i="6" s="1"/>
  <c r="AL4" i="2"/>
  <c r="AL3" i="5" s="1"/>
  <c r="AL3" i="6" s="1"/>
  <c r="AX4" i="6" s="1"/>
  <c r="AN8" i="2"/>
  <c r="AN7" i="5" s="1"/>
  <c r="AN7" i="6" s="1"/>
  <c r="AQ6" i="2"/>
  <c r="AF4" i="5"/>
  <c r="AC4" i="2"/>
  <c r="AC3" i="5" s="1"/>
  <c r="AC3" i="6" s="1"/>
  <c r="AD83" i="32" a="1"/>
  <c r="AD83" i="32" s="1"/>
  <c r="AB83" i="32" a="1"/>
  <c r="AB83" i="32" s="1"/>
  <c r="AF83" i="32" a="1"/>
  <c r="AF83" i="32" s="1"/>
  <c r="AC62" i="32" a="1"/>
  <c r="AC62" i="32" s="1"/>
  <c r="AE93" i="32" a="1"/>
  <c r="AE93" i="32" s="1"/>
  <c r="AE59" i="32" a="1"/>
  <c r="AE59" i="32" s="1"/>
  <c r="O11" i="32"/>
  <c r="AC64" i="32" a="1"/>
  <c r="AC64" i="32" s="1"/>
  <c r="AE72" i="32" a="1"/>
  <c r="AE72" i="32" s="1"/>
  <c r="AG72" i="32" s="1"/>
  <c r="AA85" i="32" a="1"/>
  <c r="AA85" i="32" s="1"/>
  <c r="AA68" i="32" a="1"/>
  <c r="AA68" i="32" s="1"/>
  <c r="AC68" i="32" a="1"/>
  <c r="AC68" i="32" s="1"/>
  <c r="AA62" i="32" a="1"/>
  <c r="AA62" i="32" s="1"/>
  <c r="AE68" i="32" a="1"/>
  <c r="AE68" i="32" s="1"/>
  <c r="AA70" i="32" a="1"/>
  <c r="AA70" i="32" s="1"/>
  <c r="E11" i="33"/>
  <c r="E19" i="33"/>
  <c r="AD42" i="32" a="1"/>
  <c r="AD42" i="32" s="1"/>
  <c r="AE79" i="32" a="1"/>
  <c r="AE79" i="32" s="1"/>
  <c r="AC79" i="32" a="1"/>
  <c r="AC79" i="32" s="1"/>
  <c r="Z79" i="32"/>
  <c r="AD79" i="32" s="1" a="1"/>
  <c r="AD79" i="32" s="1"/>
  <c r="AD67" i="32" a="1"/>
  <c r="AD67" i="32" s="1"/>
  <c r="AF67" i="32" a="1"/>
  <c r="AF67" i="32" s="1"/>
  <c r="AF62" i="32" a="1"/>
  <c r="AF62" i="32" s="1"/>
  <c r="AB62" i="32" a="1"/>
  <c r="AB62" i="32" s="1"/>
  <c r="AD62" i="32" a="1"/>
  <c r="AD62" i="32" s="1"/>
  <c r="BR19" i="1"/>
  <c r="BR23" i="1" s="1"/>
  <c r="BR27" i="1" s="1"/>
  <c r="BS15" i="1"/>
  <c r="BT15" i="1" s="1"/>
  <c r="CM9" i="1"/>
  <c r="AO9" i="32"/>
  <c r="AC58" i="32" a="1"/>
  <c r="AC58" i="32" s="1"/>
  <c r="AA67" i="32" a="1"/>
  <c r="AA67" i="32" s="1"/>
  <c r="AE70" i="32" a="1"/>
  <c r="AE70" i="32" s="1"/>
  <c r="Z87" i="32"/>
  <c r="AF87" i="32" s="1" a="1"/>
  <c r="AF87" i="32" s="1"/>
  <c r="AA91" i="32" a="1"/>
  <c r="AA91" i="32" s="1"/>
  <c r="F11" i="33"/>
  <c r="F19" i="33"/>
  <c r="E77" i="33"/>
  <c r="AE58" i="32" a="1"/>
  <c r="AE58" i="32" s="1"/>
  <c r="AG58" i="32" s="1"/>
  <c r="AC87" i="32" a="1"/>
  <c r="AC87" i="32" s="1"/>
  <c r="AB91" i="32" a="1"/>
  <c r="AB91" i="32" s="1"/>
  <c r="F46" i="33"/>
  <c r="F116" i="33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BM3" i="6"/>
  <c r="BN3" i="6" s="1"/>
  <c r="AE62" i="32" a="1"/>
  <c r="AE62" i="32" s="1"/>
  <c r="AB65" i="32" a="1"/>
  <c r="AB65" i="32" s="1"/>
  <c r="AB66" i="32" a="1"/>
  <c r="AB66" i="32" s="1"/>
  <c r="AC67" i="32" a="1"/>
  <c r="AC67" i="32" s="1"/>
  <c r="Z85" i="32"/>
  <c r="AD85" i="32" s="1" a="1"/>
  <c r="AD85" i="32" s="1"/>
  <c r="AE91" i="32" a="1"/>
  <c r="AE91" i="32" s="1"/>
  <c r="Z95" i="32"/>
  <c r="AD95" i="32" s="1" a="1"/>
  <c r="AD95" i="32" s="1"/>
  <c r="F14" i="33"/>
  <c r="F24" i="33"/>
  <c r="E43" i="33"/>
  <c r="AF58" i="32" a="1"/>
  <c r="AF58" i="32" s="1"/>
  <c r="F66" i="33"/>
  <c r="O5" i="32"/>
  <c r="AO17" i="32"/>
  <c r="AA44" i="32"/>
  <c r="AE44" i="32" s="1" a="1"/>
  <c r="AE44" i="32" s="1"/>
  <c r="AA63" i="32" a="1"/>
  <c r="AA63" i="32" s="1"/>
  <c r="AF65" i="32" a="1"/>
  <c r="AF65" i="32" s="1"/>
  <c r="AF66" i="32" a="1"/>
  <c r="AF66" i="32" s="1"/>
  <c r="AE67" i="32" a="1"/>
  <c r="AE67" i="32" s="1"/>
  <c r="Z70" i="32"/>
  <c r="AD70" i="32" s="1" a="1"/>
  <c r="AD70" i="32" s="1"/>
  <c r="AA83" i="32" a="1"/>
  <c r="AA83" i="32" s="1"/>
  <c r="F10" i="33"/>
  <c r="E12" i="33"/>
  <c r="F18" i="33"/>
  <c r="F126" i="33"/>
  <c r="P6" i="32"/>
  <c r="U47" i="32"/>
  <c r="F25" i="33"/>
  <c r="F32" i="33"/>
  <c r="F55" i="33"/>
  <c r="BS9" i="1"/>
  <c r="U39" i="32"/>
  <c r="Z39" i="32" s="1"/>
  <c r="AA58" i="32" a="1"/>
  <c r="AA58" i="32" s="1"/>
  <c r="Z59" i="32"/>
  <c r="AF59" i="32" s="1" a="1"/>
  <c r="AF59" i="32" s="1"/>
  <c r="Z64" i="32"/>
  <c r="AB64" i="32" s="1" a="1"/>
  <c r="AB64" i="32" s="1"/>
  <c r="AC69" i="32" a="1"/>
  <c r="AC69" i="32" s="1"/>
  <c r="AE83" i="32" a="1"/>
  <c r="AE83" i="32" s="1"/>
  <c r="V83" i="32" s="1"/>
  <c r="V33" i="32" s="1"/>
  <c r="F52" i="33"/>
  <c r="F106" i="33"/>
  <c r="BR17" i="1"/>
  <c r="BS13" i="1"/>
  <c r="CM13" i="1"/>
  <c r="CL17" i="1"/>
  <c r="BS14" i="1"/>
  <c r="BT14" i="1" s="1"/>
  <c r="BR18" i="1"/>
  <c r="BR20" i="1"/>
  <c r="BS16" i="1"/>
  <c r="BT16" i="1" s="1"/>
  <c r="CM14" i="1"/>
  <c r="CN14" i="1" s="1"/>
  <c r="CL18" i="1"/>
  <c r="CM16" i="1"/>
  <c r="CN16" i="1" s="1"/>
  <c r="CL20" i="1"/>
  <c r="AE97" i="32" a="1"/>
  <c r="AE97" i="32" s="1"/>
  <c r="AA97" i="32" a="1"/>
  <c r="AA97" i="32" s="1"/>
  <c r="Z97" i="32"/>
  <c r="AC97" i="32" a="1"/>
  <c r="AC97" i="32" s="1"/>
  <c r="CM10" i="1"/>
  <c r="CN10" i="1" s="1"/>
  <c r="CM12" i="1"/>
  <c r="CN12" i="1" s="1"/>
  <c r="CL15" i="1"/>
  <c r="Z34" i="32"/>
  <c r="Z30" i="32"/>
  <c r="BK5" i="6"/>
  <c r="BM4" i="6"/>
  <c r="BN4" i="6" s="1"/>
  <c r="BL4" i="6"/>
  <c r="AA35" i="32"/>
  <c r="AD35" i="32" a="1"/>
  <c r="AD35" i="32" s="1"/>
  <c r="AB35" i="32" a="1"/>
  <c r="AB35" i="32" s="1"/>
  <c r="Z43" i="32"/>
  <c r="AF61" i="32" a="1"/>
  <c r="AF61" i="32" s="1"/>
  <c r="AM69" i="32"/>
  <c r="AM61" i="32"/>
  <c r="AB29" i="32" a="1"/>
  <c r="AB29" i="32" s="1"/>
  <c r="AA29" i="32"/>
  <c r="AD29" i="32" a="1"/>
  <c r="AD29" i="32" s="1"/>
  <c r="AA38" i="32"/>
  <c r="AB38" i="32" a="1"/>
  <c r="AB38" i="32" s="1"/>
  <c r="Z47" i="32"/>
  <c r="AC88" i="32" a="1"/>
  <c r="AC88" i="32" s="1"/>
  <c r="AE88" i="32" a="1"/>
  <c r="AE88" i="32" s="1"/>
  <c r="AA88" i="32" a="1"/>
  <c r="AA88" i="32" s="1"/>
  <c r="Z88" i="32"/>
  <c r="Z32" i="32"/>
  <c r="AD33" i="32" a="1"/>
  <c r="AD33" i="32" s="1"/>
  <c r="AB33" i="32" a="1"/>
  <c r="AB33" i="32" s="1"/>
  <c r="AA33" i="32"/>
  <c r="Z37" i="32"/>
  <c r="AD41" i="32" a="1"/>
  <c r="AD41" i="32" s="1"/>
  <c r="AB41" i="32" a="1"/>
  <c r="AB41" i="32" s="1"/>
  <c r="AE92" i="32" a="1"/>
  <c r="AE92" i="32" s="1"/>
  <c r="AA92" i="32" a="1"/>
  <c r="AA92" i="32" s="1"/>
  <c r="Z92" i="32"/>
  <c r="AC92" i="32" a="1"/>
  <c r="AC92" i="32" s="1"/>
  <c r="AL65" i="32"/>
  <c r="AD38" i="32" a="1"/>
  <c r="AD38" i="32" s="1"/>
  <c r="Z49" i="32"/>
  <c r="AC80" i="32" a="1"/>
  <c r="AC80" i="32" s="1"/>
  <c r="AE80" i="32" a="1"/>
  <c r="AE80" i="32" s="1"/>
  <c r="AA80" i="32" a="1"/>
  <c r="AA80" i="32" s="1"/>
  <c r="Z80" i="32"/>
  <c r="AE89" i="32" a="1"/>
  <c r="AE89" i="32" s="1"/>
  <c r="AA89" i="32" a="1"/>
  <c r="AA89" i="32" s="1"/>
  <c r="Z89" i="32"/>
  <c r="AC89" i="32" a="1"/>
  <c r="AC89" i="32" s="1"/>
  <c r="AE41" i="32" a="1"/>
  <c r="AE41" i="32" s="1"/>
  <c r="AC41" i="32" a="1"/>
  <c r="AC41" i="32" s="1"/>
  <c r="AA59" i="32" a="1"/>
  <c r="AA59" i="32" s="1"/>
  <c r="AC63" i="32" a="1"/>
  <c r="AC63" i="32" s="1"/>
  <c r="AA64" i="32" a="1"/>
  <c r="AA64" i="32" s="1"/>
  <c r="Z78" i="32"/>
  <c r="AF79" i="32" a="1"/>
  <c r="AF79" i="32" s="1"/>
  <c r="Z93" i="32"/>
  <c r="AE98" i="32" a="1"/>
  <c r="AE98" i="32" s="1"/>
  <c r="AA98" i="32" a="1"/>
  <c r="AA98" i="32" s="1"/>
  <c r="Z98" i="32"/>
  <c r="AC98" i="32" a="1"/>
  <c r="AC98" i="32" s="1"/>
  <c r="Z40" i="32"/>
  <c r="AB44" i="32" a="1"/>
  <c r="AB44" i="32" s="1"/>
  <c r="AB50" i="32" a="1"/>
  <c r="AB50" i="32" s="1"/>
  <c r="AD60" i="32" a="1"/>
  <c r="AD60" i="32" s="1"/>
  <c r="AC65" i="32" a="1"/>
  <c r="AC65" i="32" s="1"/>
  <c r="AE65" i="32" a="1"/>
  <c r="AE65" i="32" s="1"/>
  <c r="AA65" i="32" a="1"/>
  <c r="AA65" i="32" s="1"/>
  <c r="AE66" i="32" a="1"/>
  <c r="AE66" i="32" s="1"/>
  <c r="AA66" i="32" a="1"/>
  <c r="AA66" i="32" s="1"/>
  <c r="AC66" i="32" a="1"/>
  <c r="AC66" i="32" s="1"/>
  <c r="AB67" i="32" a="1"/>
  <c r="AB67" i="32" s="1"/>
  <c r="AF68" i="32" a="1"/>
  <c r="AF68" i="32" s="1"/>
  <c r="AB68" i="32" a="1"/>
  <c r="AB68" i="32" s="1"/>
  <c r="AD68" i="32" a="1"/>
  <c r="AD68" i="32" s="1"/>
  <c r="AA78" i="32" a="1"/>
  <c r="AA78" i="32" s="1"/>
  <c r="AE85" i="32" a="1"/>
  <c r="AE85" i="32" s="1"/>
  <c r="AF91" i="32" a="1"/>
  <c r="AF91" i="32" s="1"/>
  <c r="AA93" i="32" a="1"/>
  <c r="AA93" i="32" s="1"/>
  <c r="AC60" i="32" a="1"/>
  <c r="AC60" i="32" s="1"/>
  <c r="AE60" i="32" a="1"/>
  <c r="AE60" i="32" s="1"/>
  <c r="AA60" i="32" a="1"/>
  <c r="AA60" i="32" s="1"/>
  <c r="AF69" i="32" a="1"/>
  <c r="AF69" i="32" s="1"/>
  <c r="Y82" i="32"/>
  <c r="AB95" i="32" a="1"/>
  <c r="AB95" i="32" s="1"/>
  <c r="AF63" i="32" a="1"/>
  <c r="AF63" i="32" s="1"/>
  <c r="AB63" i="32" a="1"/>
  <c r="AB63" i="32" s="1"/>
  <c r="AD63" i="32" a="1"/>
  <c r="AD63" i="32" s="1"/>
  <c r="AE63" i="32" a="1"/>
  <c r="AE63" i="32" s="1"/>
  <c r="AL69" i="32"/>
  <c r="Z86" i="32"/>
  <c r="AC86" i="32" a="1"/>
  <c r="AC86" i="32" s="1"/>
  <c r="AE86" i="32" a="1"/>
  <c r="AE86" i="32" s="1"/>
  <c r="AA86" i="32" a="1"/>
  <c r="AA86" i="32" s="1"/>
  <c r="AF60" i="32" a="1"/>
  <c r="AF60" i="32" s="1"/>
  <c r="AB72" i="32" a="1"/>
  <c r="AB72" i="32" s="1"/>
  <c r="Y90" i="32"/>
  <c r="AE81" i="32" a="1"/>
  <c r="AE81" i="32" s="1"/>
  <c r="AA81" i="32" a="1"/>
  <c r="AA81" i="32" s="1"/>
  <c r="Z81" i="32"/>
  <c r="AE84" i="32" a="1"/>
  <c r="AE84" i="32" s="1"/>
  <c r="AA84" i="32" a="1"/>
  <c r="AA84" i="32" s="1"/>
  <c r="Z84" i="32"/>
  <c r="AC84" i="32" a="1"/>
  <c r="AC84" i="32" s="1"/>
  <c r="AD94" i="32" a="1"/>
  <c r="AD94" i="32" s="1"/>
  <c r="AF94" i="32" a="1"/>
  <c r="AF94" i="32" s="1"/>
  <c r="AB94" i="32" a="1"/>
  <c r="AB94" i="32" s="1"/>
  <c r="AM65" i="32"/>
  <c r="AB69" i="32" a="1"/>
  <c r="AB69" i="32" s="1"/>
  <c r="AA94" i="32" a="1"/>
  <c r="AA94" i="32" s="1"/>
  <c r="AE94" i="32" a="1"/>
  <c r="AE94" i="32" s="1"/>
  <c r="Z96" i="32"/>
  <c r="F12" i="33"/>
  <c r="E28" i="33"/>
  <c r="F29" i="33"/>
  <c r="F45" i="33"/>
  <c r="AC72" i="32" a="1"/>
  <c r="AC72" i="32" s="1"/>
  <c r="AA79" i="32" a="1"/>
  <c r="AA79" i="32" s="1"/>
  <c r="AC83" i="32" a="1"/>
  <c r="AC83" i="32" s="1"/>
  <c r="AA87" i="32" a="1"/>
  <c r="AA87" i="32" s="1"/>
  <c r="AC91" i="32" a="1"/>
  <c r="AC91" i="32" s="1"/>
  <c r="W91" i="32" s="1"/>
  <c r="W41" i="32" s="1"/>
  <c r="AA95" i="32" a="1"/>
  <c r="AA95" i="32" s="1"/>
  <c r="AE95" i="32" a="1"/>
  <c r="AE95" i="32" s="1"/>
  <c r="AC99" i="32" a="1"/>
  <c r="AC99" i="32" s="1"/>
  <c r="E116" i="33"/>
  <c r="E106" i="33"/>
  <c r="E105" i="33"/>
  <c r="E95" i="33"/>
  <c r="E140" i="33"/>
  <c r="E132" i="33"/>
  <c r="E64" i="33"/>
  <c r="E54" i="33"/>
  <c r="E138" i="33"/>
  <c r="E130" i="33"/>
  <c r="E42" i="33"/>
  <c r="E32" i="33"/>
  <c r="E79" i="33"/>
  <c r="E69" i="33"/>
  <c r="E108" i="33"/>
  <c r="E98" i="33"/>
  <c r="E30" i="33"/>
  <c r="F13" i="33"/>
  <c r="F23" i="33"/>
  <c r="F26" i="33"/>
  <c r="F27" i="33"/>
  <c r="F28" i="33"/>
  <c r="E33" i="33"/>
  <c r="F38" i="33"/>
  <c r="AC71" i="32" a="1"/>
  <c r="AC71" i="32" s="1"/>
  <c r="AA96" i="32" a="1"/>
  <c r="AA96" i="32" s="1"/>
  <c r="AE96" i="32" a="1"/>
  <c r="AE96" i="32" s="1"/>
  <c r="Z99" i="32"/>
  <c r="F15" i="33"/>
  <c r="F37" i="33"/>
  <c r="F42" i="33"/>
  <c r="Z71" i="32"/>
  <c r="AC94" i="32" a="1"/>
  <c r="AC94" i="32" s="1"/>
  <c r="F141" i="33"/>
  <c r="F133" i="33"/>
  <c r="F105" i="33"/>
  <c r="F95" i="33"/>
  <c r="F85" i="33"/>
  <c r="F75" i="33"/>
  <c r="F65" i="33"/>
  <c r="F140" i="33"/>
  <c r="F132" i="33"/>
  <c r="F122" i="33"/>
  <c r="F112" i="33"/>
  <c r="F104" i="33"/>
  <c r="F94" i="33"/>
  <c r="F84" i="33"/>
  <c r="F74" i="33"/>
  <c r="F64" i="33"/>
  <c r="F54" i="33"/>
  <c r="F44" i="33"/>
  <c r="F139" i="33"/>
  <c r="F131" i="33"/>
  <c r="F121" i="33"/>
  <c r="F111" i="33"/>
  <c r="F83" i="33"/>
  <c r="F63" i="33"/>
  <c r="F53" i="33"/>
  <c r="F43" i="33"/>
  <c r="F33" i="33"/>
  <c r="F138" i="33"/>
  <c r="F130" i="33"/>
  <c r="F120" i="33"/>
  <c r="F110" i="33"/>
  <c r="F100" i="33"/>
  <c r="F90" i="33"/>
  <c r="F137" i="33"/>
  <c r="F129" i="33"/>
  <c r="F119" i="33"/>
  <c r="F109" i="33"/>
  <c r="F99" i="33"/>
  <c r="F89" i="33"/>
  <c r="F79" i="33"/>
  <c r="F69" i="33"/>
  <c r="F59" i="33"/>
  <c r="F41" i="33"/>
  <c r="F31" i="33"/>
  <c r="F136" i="33"/>
  <c r="F128" i="33"/>
  <c r="F118" i="33"/>
  <c r="F108" i="33"/>
  <c r="F98" i="33"/>
  <c r="F88" i="33"/>
  <c r="F78" i="33"/>
  <c r="F68" i="33"/>
  <c r="F58" i="33"/>
  <c r="F48" i="33"/>
  <c r="F40" i="33"/>
  <c r="F30" i="33"/>
  <c r="F135" i="33"/>
  <c r="F127" i="33"/>
  <c r="F117" i="33"/>
  <c r="F107" i="33"/>
  <c r="F97" i="33"/>
  <c r="F87" i="33"/>
  <c r="F77" i="33"/>
  <c r="F67" i="33"/>
  <c r="F57" i="33"/>
  <c r="F47" i="33"/>
  <c r="F39" i="33"/>
  <c r="F16" i="33"/>
  <c r="F86" i="33"/>
  <c r="F142" i="33"/>
  <c r="AA99" i="32" a="1"/>
  <c r="AA99" i="32" s="1"/>
  <c r="F17" i="33"/>
  <c r="F56" i="33"/>
  <c r="F70" i="33"/>
  <c r="F96" i="33"/>
  <c r="F134" i="33"/>
  <c r="AA71" i="32" a="1"/>
  <c r="AA71" i="32" s="1"/>
  <c r="E53" i="33" l="1"/>
  <c r="E56" i="33"/>
  <c r="E127" i="33"/>
  <c r="E40" i="33"/>
  <c r="E118" i="33"/>
  <c r="E89" i="33"/>
  <c r="E52" i="33"/>
  <c r="E83" i="33"/>
  <c r="E74" i="33"/>
  <c r="E37" i="33"/>
  <c r="E133" i="33"/>
  <c r="E126" i="33"/>
  <c r="E27" i="33"/>
  <c r="AA48" i="32"/>
  <c r="AC48" i="32" s="1" a="1"/>
  <c r="AC48" i="32" s="1"/>
  <c r="AD48" i="32" a="1"/>
  <c r="AD48" i="32" s="1"/>
  <c r="AD31" i="32" a="1"/>
  <c r="AD31" i="32" s="1"/>
  <c r="E15" i="33"/>
  <c r="E134" i="33"/>
  <c r="E46" i="33"/>
  <c r="E84" i="33"/>
  <c r="E66" i="33"/>
  <c r="E117" i="33"/>
  <c r="E48" i="33"/>
  <c r="E99" i="33"/>
  <c r="E70" i="33"/>
  <c r="E111" i="33"/>
  <c r="E45" i="33"/>
  <c r="E26" i="33"/>
  <c r="AA31" i="32"/>
  <c r="E25" i="33"/>
  <c r="E94" i="33"/>
  <c r="E18" i="33"/>
  <c r="E31" i="33"/>
  <c r="E131" i="33"/>
  <c r="E76" i="33"/>
  <c r="E97" i="33"/>
  <c r="E13" i="33"/>
  <c r="AA42" i="32"/>
  <c r="AA45" i="32"/>
  <c r="AC45" i="32" s="1" a="1"/>
  <c r="AC45" i="32" s="1"/>
  <c r="E17" i="33"/>
  <c r="E128" i="33"/>
  <c r="E141" i="33"/>
  <c r="E39" i="33"/>
  <c r="E16" i="33"/>
  <c r="E107" i="33"/>
  <c r="E58" i="33"/>
  <c r="E136" i="33"/>
  <c r="E109" i="33"/>
  <c r="E90" i="33"/>
  <c r="E121" i="33"/>
  <c r="E55" i="33"/>
  <c r="E142" i="33"/>
  <c r="E23" i="33"/>
  <c r="E87" i="33"/>
  <c r="E67" i="33"/>
  <c r="E24" i="33"/>
  <c r="E68" i="33"/>
  <c r="E119" i="33"/>
  <c r="E100" i="33"/>
  <c r="E104" i="33"/>
  <c r="E65" i="33"/>
  <c r="E57" i="33"/>
  <c r="E78" i="33"/>
  <c r="E41" i="33"/>
  <c r="E129" i="33"/>
  <c r="E110" i="33"/>
  <c r="E139" i="33"/>
  <c r="E112" i="33"/>
  <c r="E75" i="33"/>
  <c r="E86" i="33"/>
  <c r="E63" i="33"/>
  <c r="E10" i="33"/>
  <c r="E14" i="33"/>
  <c r="E88" i="33"/>
  <c r="E59" i="33"/>
  <c r="E137" i="33"/>
  <c r="E120" i="33"/>
  <c r="E44" i="33"/>
  <c r="E122" i="33"/>
  <c r="E85" i="33"/>
  <c r="E96" i="33"/>
  <c r="E38" i="33"/>
  <c r="E29" i="33"/>
  <c r="E47" i="33"/>
  <c r="AB45" i="32" a="1"/>
  <c r="AB45" i="32" s="1"/>
  <c r="BH9" i="6"/>
  <c r="AF95" i="32" a="1"/>
  <c r="AF95" i="32" s="1"/>
  <c r="W95" i="32" s="1"/>
  <c r="W45" i="32" s="1"/>
  <c r="AL1" i="5"/>
  <c r="G7" i="2"/>
  <c r="G6" i="5" s="1"/>
  <c r="G6" i="6" s="1"/>
  <c r="AC4" i="32"/>
  <c r="AF4" i="32" s="1"/>
  <c r="AG4" i="32" s="1"/>
  <c r="AD87" i="32" a="1"/>
  <c r="AD87" i="32" s="1"/>
  <c r="AB87" i="32" a="1"/>
  <c r="AB87" i="32" s="1"/>
  <c r="V87" i="32" s="1"/>
  <c r="V37" i="32" s="1"/>
  <c r="AB79" i="32" a="1"/>
  <c r="AB79" i="32" s="1"/>
  <c r="AB61" i="32" a="1"/>
  <c r="AB61" i="32" s="1"/>
  <c r="AD1" i="5"/>
  <c r="AB59" i="32" a="1"/>
  <c r="AB59" i="32" s="1"/>
  <c r="AG59" i="32" s="1"/>
  <c r="AD59" i="32" a="1"/>
  <c r="AD59" i="32" s="1"/>
  <c r="R1" i="5"/>
  <c r="BH4" i="6"/>
  <c r="BH3" i="6"/>
  <c r="AA8" i="2"/>
  <c r="AA7" i="5" s="1"/>
  <c r="AA7" i="6" s="1"/>
  <c r="AA6" i="5"/>
  <c r="AA6" i="6" s="1"/>
  <c r="V1" i="5"/>
  <c r="V91" i="32"/>
  <c r="V41" i="32" s="1"/>
  <c r="C5" i="5"/>
  <c r="C5" i="6" s="1"/>
  <c r="C7" i="2"/>
  <c r="K5" i="5"/>
  <c r="K5" i="6" s="1"/>
  <c r="K7" i="2"/>
  <c r="AC44" i="32" a="1"/>
  <c r="AC44" i="32" s="1"/>
  <c r="AF44" i="32" s="1"/>
  <c r="AG44" i="32" s="1"/>
  <c r="AA50" i="32"/>
  <c r="AE45" i="32" a="1"/>
  <c r="AE45" i="32" s="1"/>
  <c r="AF45" i="32" s="1"/>
  <c r="AG45" i="32" s="1"/>
  <c r="AG62" i="32"/>
  <c r="AF4" i="6"/>
  <c r="AH1" i="5"/>
  <c r="O7" i="2"/>
  <c r="O5" i="5"/>
  <c r="O5" i="6" s="1"/>
  <c r="BI9" i="6"/>
  <c r="BH7" i="6"/>
  <c r="BH6" i="6"/>
  <c r="H3" i="33" s="1"/>
  <c r="F1" i="5"/>
  <c r="D4" i="6"/>
  <c r="W8" i="2"/>
  <c r="W7" i="5" s="1"/>
  <c r="W7" i="6" s="1"/>
  <c r="AU8" i="6" s="1"/>
  <c r="W6" i="5"/>
  <c r="W6" i="6" s="1"/>
  <c r="AU7" i="6" s="1"/>
  <c r="AA36" i="32"/>
  <c r="AQ5" i="5"/>
  <c r="AQ5" i="6" s="1"/>
  <c r="AQ7" i="2"/>
  <c r="AB36" i="32" a="1"/>
  <c r="AB36" i="32" s="1"/>
  <c r="X4" i="6"/>
  <c r="J1" i="6" s="1"/>
  <c r="BE2" i="6" s="1"/>
  <c r="Z1" i="5"/>
  <c r="AT1" i="5"/>
  <c r="A25" i="1"/>
  <c r="A26" i="1" s="1"/>
  <c r="A27" i="1" s="1"/>
  <c r="A28" i="1" s="1"/>
  <c r="A29" i="1" s="1"/>
  <c r="A30" i="1" s="1"/>
  <c r="A31" i="1" s="1"/>
  <c r="A32" i="1" s="1"/>
  <c r="A33" i="1" s="1"/>
  <c r="A34" i="1" s="1"/>
  <c r="A7" i="2"/>
  <c r="AP1" i="5"/>
  <c r="AI5" i="5"/>
  <c r="AI5" i="6" s="1"/>
  <c r="AI7" i="2"/>
  <c r="W83" i="32"/>
  <c r="W33" i="32" s="1"/>
  <c r="BS23" i="1"/>
  <c r="BT23" i="1" s="1"/>
  <c r="N1" i="5"/>
  <c r="AE7" i="2"/>
  <c r="AE5" i="5"/>
  <c r="AE5" i="6" s="1"/>
  <c r="S5" i="5"/>
  <c r="S5" i="6" s="1"/>
  <c r="S7" i="2"/>
  <c r="V79" i="32"/>
  <c r="V29" i="32" s="1"/>
  <c r="AG61" i="32"/>
  <c r="AF41" i="32"/>
  <c r="AG41" i="32" s="1"/>
  <c r="W87" i="32"/>
  <c r="W37" i="32" s="1"/>
  <c r="AG67" i="32"/>
  <c r="W79" i="32"/>
  <c r="W29" i="32" s="1"/>
  <c r="AB85" i="32" a="1"/>
  <c r="AB85" i="32" s="1"/>
  <c r="AD64" i="32" a="1"/>
  <c r="AD64" i="32" s="1"/>
  <c r="AF85" i="32" a="1"/>
  <c r="AF85" i="32" s="1"/>
  <c r="W85" i="32" s="1"/>
  <c r="W35" i="32" s="1"/>
  <c r="AF64" i="32" a="1"/>
  <c r="AF64" i="32" s="1"/>
  <c r="AG64" i="32" s="1"/>
  <c r="AD39" i="32" a="1"/>
  <c r="AD39" i="32" s="1"/>
  <c r="AB39" i="32" a="1"/>
  <c r="AB39" i="32" s="1"/>
  <c r="AA39" i="32"/>
  <c r="AG69" i="32"/>
  <c r="AG65" i="32"/>
  <c r="BS19" i="1"/>
  <c r="BT19" i="1" s="1"/>
  <c r="AG68" i="32"/>
  <c r="AB70" i="32" a="1"/>
  <c r="AB70" i="32" s="1"/>
  <c r="AF70" i="32" a="1"/>
  <c r="AF70" i="32" s="1"/>
  <c r="AD99" i="32" a="1"/>
  <c r="AD99" i="32" s="1"/>
  <c r="W99" i="32" s="1"/>
  <c r="W49" i="32" s="1"/>
  <c r="AF99" i="32" a="1"/>
  <c r="AF99" i="32" s="1"/>
  <c r="AB99" i="32" a="1"/>
  <c r="AB99" i="32" s="1"/>
  <c r="AD84" i="32" a="1"/>
  <c r="AD84" i="32" s="1"/>
  <c r="W84" i="32" s="1"/>
  <c r="W34" i="32" s="1"/>
  <c r="AF84" i="32" a="1"/>
  <c r="AF84" i="32" s="1"/>
  <c r="AB84" i="32" a="1"/>
  <c r="AB84" i="32" s="1"/>
  <c r="BL5" i="6"/>
  <c r="BM5" i="6"/>
  <c r="BN5" i="6" s="1"/>
  <c r="BK6" i="6"/>
  <c r="CM17" i="1"/>
  <c r="CL21" i="1"/>
  <c r="AG60" i="32"/>
  <c r="AF98" i="32" a="1"/>
  <c r="AF98" i="32" s="1"/>
  <c r="AB98" i="32" a="1"/>
  <c r="AB98" i="32" s="1"/>
  <c r="AD98" i="32" a="1"/>
  <c r="AD98" i="32" s="1"/>
  <c r="AC31" i="32" a="1"/>
  <c r="AC31" i="32" s="1"/>
  <c r="AE31" i="32" a="1"/>
  <c r="AE31" i="32" s="1"/>
  <c r="AD89" i="32" a="1"/>
  <c r="AD89" i="32" s="1"/>
  <c r="AF89" i="32" a="1"/>
  <c r="AF89" i="32" s="1"/>
  <c r="AB89" i="32" a="1"/>
  <c r="AB89" i="32" s="1"/>
  <c r="AD49" i="32" a="1"/>
  <c r="AD49" i="32" s="1"/>
  <c r="AB49" i="32" a="1"/>
  <c r="AB49" i="32" s="1"/>
  <c r="AA49" i="32"/>
  <c r="AA32" i="32"/>
  <c r="AB32" i="32" a="1"/>
  <c r="AB32" i="32" s="1"/>
  <c r="AD32" i="32" a="1"/>
  <c r="AD32" i="32" s="1"/>
  <c r="AE29" i="32" a="1"/>
  <c r="AE29" i="32" s="1"/>
  <c r="AC29" i="32" a="1"/>
  <c r="AC29" i="32" s="1"/>
  <c r="AD30" i="32" a="1"/>
  <c r="AD30" i="32" s="1"/>
  <c r="AB30" i="32" a="1"/>
  <c r="AB30" i="32" s="1"/>
  <c r="AA30" i="32"/>
  <c r="AF78" i="32" a="1"/>
  <c r="AF78" i="32" s="1"/>
  <c r="AB78" i="32" a="1"/>
  <c r="AB78" i="32" s="1"/>
  <c r="AD78" i="32" a="1"/>
  <c r="AD78" i="32" s="1"/>
  <c r="CL19" i="1"/>
  <c r="CM15" i="1"/>
  <c r="CN15" i="1" s="1"/>
  <c r="AF96" i="32" a="1"/>
  <c r="AF96" i="32" s="1"/>
  <c r="AB96" i="32" a="1"/>
  <c r="AB96" i="32" s="1"/>
  <c r="AD96" i="32" a="1"/>
  <c r="AD96" i="32" s="1"/>
  <c r="AD86" i="32" a="1"/>
  <c r="AD86" i="32" s="1"/>
  <c r="AF86" i="32" a="1"/>
  <c r="AF86" i="32" s="1"/>
  <c r="AB86" i="32" a="1"/>
  <c r="AB86" i="32" s="1"/>
  <c r="AD47" i="32" a="1"/>
  <c r="AD47" i="32" s="1"/>
  <c r="AB47" i="32" a="1"/>
  <c r="AB47" i="32" s="1"/>
  <c r="AA47" i="32"/>
  <c r="AE35" i="32" a="1"/>
  <c r="AE35" i="32" s="1"/>
  <c r="AC35" i="32" a="1"/>
  <c r="AC35" i="32" s="1"/>
  <c r="BR21" i="1"/>
  <c r="BS17" i="1"/>
  <c r="V95" i="32"/>
  <c r="V45" i="32" s="1"/>
  <c r="V94" i="32"/>
  <c r="V44" i="32" s="1"/>
  <c r="AG63" i="32"/>
  <c r="AA46" i="32"/>
  <c r="AD46" i="32" a="1"/>
  <c r="AD46" i="32" s="1"/>
  <c r="AB46" i="32" a="1"/>
  <c r="AB46" i="32" s="1"/>
  <c r="AF93" i="32" a="1"/>
  <c r="AF93" i="32" s="1"/>
  <c r="AB93" i="32" a="1"/>
  <c r="AB93" i="32" s="1"/>
  <c r="AD93" i="32" a="1"/>
  <c r="AD93" i="32" s="1"/>
  <c r="AF80" i="32" a="1"/>
  <c r="AF80" i="32" s="1"/>
  <c r="AB80" i="32" a="1"/>
  <c r="AB80" i="32" s="1"/>
  <c r="AD80" i="32" a="1"/>
  <c r="AD80" i="32" s="1"/>
  <c r="CM20" i="1"/>
  <c r="CN20" i="1" s="1"/>
  <c r="CL24" i="1"/>
  <c r="AD81" i="32" a="1"/>
  <c r="AD81" i="32" s="1"/>
  <c r="AF81" i="32" a="1"/>
  <c r="AF81" i="32" s="1"/>
  <c r="AB81" i="32" a="1"/>
  <c r="AB81" i="32" s="1"/>
  <c r="AG66" i="32"/>
  <c r="U17" i="32" s="1"/>
  <c r="AN17" i="32" s="1"/>
  <c r="AD92" i="32" a="1"/>
  <c r="AD92" i="32" s="1"/>
  <c r="W92" i="32" s="1"/>
  <c r="W42" i="32" s="1"/>
  <c r="AF92" i="32" a="1"/>
  <c r="AF92" i="32" s="1"/>
  <c r="AB92" i="32" a="1"/>
  <c r="AB92" i="32" s="1"/>
  <c r="AB37" i="32" a="1"/>
  <c r="AB37" i="32" s="1"/>
  <c r="AA37" i="32"/>
  <c r="AD37" i="32" a="1"/>
  <c r="AD37" i="32" s="1"/>
  <c r="AF97" i="32" a="1"/>
  <c r="AF97" i="32" s="1"/>
  <c r="AB97" i="32" a="1"/>
  <c r="AB97" i="32" s="1"/>
  <c r="AD97" i="32" a="1"/>
  <c r="AD97" i="32" s="1"/>
  <c r="BR24" i="1"/>
  <c r="BS20" i="1"/>
  <c r="BT20" i="1" s="1"/>
  <c r="BR31" i="1"/>
  <c r="BS27" i="1"/>
  <c r="BT27" i="1" s="1"/>
  <c r="AE90" i="32" a="1"/>
  <c r="AE90" i="32" s="1"/>
  <c r="AA90" i="32" a="1"/>
  <c r="AA90" i="32" s="1"/>
  <c r="Z90" i="32"/>
  <c r="AC90" i="32" a="1"/>
  <c r="AC90" i="32" s="1"/>
  <c r="W94" i="32"/>
  <c r="W44" i="32" s="1"/>
  <c r="AD71" i="32" a="1"/>
  <c r="AD71" i="32" s="1"/>
  <c r="AF71" i="32" a="1"/>
  <c r="AF71" i="32" s="1"/>
  <c r="AB71" i="32" a="1"/>
  <c r="AB71" i="32" s="1"/>
  <c r="AE48" i="32" a="1"/>
  <c r="AE48" i="32" s="1"/>
  <c r="AE82" i="32" a="1"/>
  <c r="AE82" i="32" s="1"/>
  <c r="AA82" i="32" a="1"/>
  <c r="AA82" i="32" s="1"/>
  <c r="Z82" i="32"/>
  <c r="AC82" i="32" a="1"/>
  <c r="AC82" i="32" s="1"/>
  <c r="AB40" i="32" a="1"/>
  <c r="AB40" i="32" s="1"/>
  <c r="AA40" i="32"/>
  <c r="AD40" i="32" a="1"/>
  <c r="AD40" i="32" s="1"/>
  <c r="AC33" i="32" a="1"/>
  <c r="AC33" i="32" s="1"/>
  <c r="AE33" i="32" a="1"/>
  <c r="AE33" i="32" s="1"/>
  <c r="AF88" i="32" a="1"/>
  <c r="AF88" i="32" s="1"/>
  <c r="AB88" i="32" a="1"/>
  <c r="AB88" i="32" s="1"/>
  <c r="AD88" i="32" a="1"/>
  <c r="AD88" i="32" s="1"/>
  <c r="AB34" i="32" a="1"/>
  <c r="AB34" i="32" s="1"/>
  <c r="AD34" i="32" a="1"/>
  <c r="AD34" i="32" s="1"/>
  <c r="AA34" i="32"/>
  <c r="CM18" i="1"/>
  <c r="CN18" i="1" s="1"/>
  <c r="CL22" i="1"/>
  <c r="BR22" i="1"/>
  <c r="BS18" i="1"/>
  <c r="BT18" i="1" s="1"/>
  <c r="AE38" i="32" a="1"/>
  <c r="AE38" i="32" s="1"/>
  <c r="AC38" i="32" a="1"/>
  <c r="AC38" i="32" s="1"/>
  <c r="AB43" i="32" a="1"/>
  <c r="AB43" i="32" s="1"/>
  <c r="AA43" i="32"/>
  <c r="AD43" i="32" a="1"/>
  <c r="AD43" i="32" s="1"/>
  <c r="W89" i="32" l="1"/>
  <c r="W39" i="32" s="1"/>
  <c r="AE42" i="32" a="1"/>
  <c r="AE42" i="32" s="1"/>
  <c r="AF42" i="32" s="1"/>
  <c r="AG42" i="32" s="1"/>
  <c r="AC42" i="32" a="1"/>
  <c r="AC42" i="32" s="1"/>
  <c r="G8" i="2"/>
  <c r="G7" i="5" s="1"/>
  <c r="G7" i="6" s="1"/>
  <c r="V92" i="32"/>
  <c r="V42" i="32" s="1"/>
  <c r="AF38" i="32"/>
  <c r="AG38" i="32" s="1"/>
  <c r="AF33" i="32"/>
  <c r="AG33" i="32" s="1"/>
  <c r="AP1" i="6"/>
  <c r="AW2" i="6" s="1"/>
  <c r="F1" i="6"/>
  <c r="BF2" i="6" s="1"/>
  <c r="V85" i="32"/>
  <c r="V35" i="32" s="1"/>
  <c r="C8" i="2"/>
  <c r="C7" i="5" s="1"/>
  <c r="C7" i="6" s="1"/>
  <c r="C6" i="5"/>
  <c r="C6" i="6" s="1"/>
  <c r="V93" i="32"/>
  <c r="V43" i="32" s="1"/>
  <c r="O6" i="5"/>
  <c r="O6" i="6" s="1"/>
  <c r="O8" i="2"/>
  <c r="O7" i="5" s="1"/>
  <c r="O7" i="6" s="1"/>
  <c r="AE36" i="32" a="1"/>
  <c r="AE36" i="32" s="1"/>
  <c r="AC36" i="32" a="1"/>
  <c r="AC36" i="32" s="1"/>
  <c r="AC50" i="32" a="1"/>
  <c r="AC50" i="32" s="1"/>
  <c r="AE50" i="32" a="1"/>
  <c r="AE50" i="32" s="1"/>
  <c r="V86" i="32"/>
  <c r="V36" i="32" s="1"/>
  <c r="Z1" i="6"/>
  <c r="BA2" i="6" s="1"/>
  <c r="R1" i="6"/>
  <c r="BC2" i="6" s="1"/>
  <c r="N1" i="6"/>
  <c r="BD2" i="6" s="1"/>
  <c r="AT1" i="6"/>
  <c r="AV2" i="6" s="1"/>
  <c r="S8" i="2"/>
  <c r="S7" i="5" s="1"/>
  <c r="S7" i="6" s="1"/>
  <c r="S6" i="5"/>
  <c r="S6" i="6" s="1"/>
  <c r="AI6" i="5"/>
  <c r="AI6" i="6" s="1"/>
  <c r="AI8" i="2"/>
  <c r="AI7" i="5" s="1"/>
  <c r="AI7" i="6" s="1"/>
  <c r="AD1" i="6"/>
  <c r="AZ2" i="6" s="1"/>
  <c r="AL1" i="6"/>
  <c r="AX2" i="6" s="1"/>
  <c r="AQ8" i="2"/>
  <c r="AQ7" i="5" s="1"/>
  <c r="AQ7" i="6" s="1"/>
  <c r="AQ6" i="5"/>
  <c r="AQ6" i="6" s="1"/>
  <c r="G104" i="33"/>
  <c r="G111" i="33"/>
  <c r="G120" i="33"/>
  <c r="G137" i="33"/>
  <c r="G48" i="33"/>
  <c r="G87" i="33"/>
  <c r="G134" i="33"/>
  <c r="G10" i="33"/>
  <c r="G54" i="33"/>
  <c r="G52" i="33"/>
  <c r="G117" i="33"/>
  <c r="G86" i="33"/>
  <c r="G94" i="33"/>
  <c r="G83" i="33"/>
  <c r="G110" i="33"/>
  <c r="G129" i="33"/>
  <c r="G118" i="33"/>
  <c r="G40" i="33"/>
  <c r="G77" i="33"/>
  <c r="G126" i="33"/>
  <c r="G46" i="33"/>
  <c r="G11" i="33"/>
  <c r="G69" i="33"/>
  <c r="G59" i="33"/>
  <c r="G24" i="33"/>
  <c r="G90" i="33"/>
  <c r="G132" i="33"/>
  <c r="G78" i="33"/>
  <c r="G84" i="33"/>
  <c r="G63" i="33"/>
  <c r="G100" i="33"/>
  <c r="G119" i="33"/>
  <c r="G108" i="33"/>
  <c r="G30" i="33"/>
  <c r="G67" i="33"/>
  <c r="G116" i="33"/>
  <c r="G38" i="33"/>
  <c r="G85" i="33"/>
  <c r="G13" i="33"/>
  <c r="G65" i="33"/>
  <c r="G25" i="33"/>
  <c r="G74" i="33"/>
  <c r="G109" i="33"/>
  <c r="G98" i="33"/>
  <c r="G135" i="33"/>
  <c r="G57" i="33"/>
  <c r="G106" i="33"/>
  <c r="G18" i="33"/>
  <c r="G12" i="33"/>
  <c r="G23" i="33"/>
  <c r="G95" i="33"/>
  <c r="G53" i="33"/>
  <c r="G139" i="33"/>
  <c r="G44" i="33"/>
  <c r="G140" i="33"/>
  <c r="G64" i="33"/>
  <c r="G43" i="33"/>
  <c r="G70" i="33"/>
  <c r="G99" i="33"/>
  <c r="G88" i="33"/>
  <c r="G127" i="33"/>
  <c r="G47" i="33"/>
  <c r="G96" i="33"/>
  <c r="G41" i="33"/>
  <c r="G19" i="33"/>
  <c r="G55" i="33"/>
  <c r="G26" i="33"/>
  <c r="G133" i="33"/>
  <c r="G15" i="33"/>
  <c r="G16" i="33"/>
  <c r="G89" i="33"/>
  <c r="G122" i="33"/>
  <c r="G131" i="33"/>
  <c r="G138" i="33"/>
  <c r="G42" i="33"/>
  <c r="G79" i="33"/>
  <c r="G68" i="33"/>
  <c r="G107" i="33"/>
  <c r="G29" i="33"/>
  <c r="G76" i="33"/>
  <c r="G45" i="33"/>
  <c r="G141" i="33"/>
  <c r="G28" i="33"/>
  <c r="G14" i="33"/>
  <c r="G105" i="33"/>
  <c r="G33" i="33"/>
  <c r="G75" i="33"/>
  <c r="G112" i="33"/>
  <c r="G121" i="33"/>
  <c r="G130" i="33"/>
  <c r="G32" i="33"/>
  <c r="G136" i="33"/>
  <c r="G58" i="33"/>
  <c r="G97" i="33"/>
  <c r="G142" i="33"/>
  <c r="G66" i="33"/>
  <c r="G31" i="33"/>
  <c r="G37" i="33"/>
  <c r="G17" i="33"/>
  <c r="G128" i="33"/>
  <c r="G56" i="33"/>
  <c r="G39" i="33"/>
  <c r="G27" i="33"/>
  <c r="AH1" i="6"/>
  <c r="AY2" i="6" s="1"/>
  <c r="V1" i="6"/>
  <c r="BB2" i="6" s="1"/>
  <c r="V78" i="32"/>
  <c r="V50" i="32" s="1"/>
  <c r="V89" i="32"/>
  <c r="V39" i="32" s="1"/>
  <c r="AE6" i="5"/>
  <c r="AE6" i="6" s="1"/>
  <c r="AE8" i="2"/>
  <c r="AE7" i="5" s="1"/>
  <c r="AE7" i="6" s="1"/>
  <c r="K8" i="2"/>
  <c r="K7" i="5" s="1"/>
  <c r="K7" i="6" s="1"/>
  <c r="K6" i="5"/>
  <c r="K6" i="6" s="1"/>
  <c r="W98" i="32"/>
  <c r="W48" i="32" s="1"/>
  <c r="V84" i="32"/>
  <c r="V34" i="32" s="1"/>
  <c r="V99" i="32"/>
  <c r="V49" i="32" s="1"/>
  <c r="AF29" i="32"/>
  <c r="AG29" i="32" s="1"/>
  <c r="V98" i="32"/>
  <c r="V48" i="32" s="1"/>
  <c r="V81" i="32"/>
  <c r="V31" i="32" s="1"/>
  <c r="V96" i="32"/>
  <c r="V46" i="32" s="1"/>
  <c r="AG70" i="32"/>
  <c r="AG71" i="32"/>
  <c r="V80" i="32"/>
  <c r="V30" i="32" s="1"/>
  <c r="W86" i="32"/>
  <c r="W36" i="32" s="1"/>
  <c r="W97" i="32"/>
  <c r="W47" i="32" s="1"/>
  <c r="W88" i="32"/>
  <c r="W38" i="32" s="1"/>
  <c r="V97" i="32"/>
  <c r="V47" i="32" s="1"/>
  <c r="V88" i="32"/>
  <c r="V38" i="32" s="1"/>
  <c r="AE39" i="32" a="1"/>
  <c r="AE39" i="32" s="1"/>
  <c r="AC39" i="32" a="1"/>
  <c r="AC39" i="32" s="1"/>
  <c r="W78" i="32"/>
  <c r="W50" i="32" s="1"/>
  <c r="AF31" i="32"/>
  <c r="AG31" i="32" s="1"/>
  <c r="W80" i="32"/>
  <c r="W30" i="32" s="1"/>
  <c r="W96" i="32"/>
  <c r="W46" i="32" s="1"/>
  <c r="AF48" i="32"/>
  <c r="AG48" i="32" s="1"/>
  <c r="W81" i="32"/>
  <c r="W31" i="32" s="1"/>
  <c r="AF35" i="32"/>
  <c r="AG35" i="32" s="1"/>
  <c r="AC43" i="32" a="1"/>
  <c r="AC43" i="32" s="1"/>
  <c r="AE43" i="32" a="1"/>
  <c r="AE43" i="32" s="1"/>
  <c r="W93" i="32"/>
  <c r="W43" i="32" s="1"/>
  <c r="CM22" i="1"/>
  <c r="CN22" i="1" s="1"/>
  <c r="CL26" i="1"/>
  <c r="AE40" i="32" a="1"/>
  <c r="AE40" i="32" s="1"/>
  <c r="AC40" i="32" a="1"/>
  <c r="AC40" i="32" s="1"/>
  <c r="BK7" i="6"/>
  <c r="BM6" i="6"/>
  <c r="BN6" i="6" s="1"/>
  <c r="BL6" i="6"/>
  <c r="AE34" i="32" a="1"/>
  <c r="AE34" i="32" s="1"/>
  <c r="AC34" i="32" a="1"/>
  <c r="AC34" i="32" s="1"/>
  <c r="S17" i="32"/>
  <c r="R18" i="32"/>
  <c r="Q18" i="32" s="1"/>
  <c r="R16" i="32"/>
  <c r="Q16" i="32" s="1"/>
  <c r="AC49" i="32" a="1"/>
  <c r="AC49" i="32" s="1"/>
  <c r="AE49" i="32" a="1"/>
  <c r="AE49" i="32" s="1"/>
  <c r="AF90" i="32" a="1"/>
  <c r="AF90" i="32" s="1"/>
  <c r="AB90" i="32" a="1"/>
  <c r="AB90" i="32" s="1"/>
  <c r="AD90" i="32" a="1"/>
  <c r="AD90" i="32" s="1"/>
  <c r="AC37" i="32" a="1"/>
  <c r="AC37" i="32" s="1"/>
  <c r="AE37" i="32" a="1"/>
  <c r="AE37" i="32" s="1"/>
  <c r="AE47" i="32" a="1"/>
  <c r="AE47" i="32" s="1"/>
  <c r="AC47" i="32" a="1"/>
  <c r="AC47" i="32" s="1"/>
  <c r="CM19" i="1"/>
  <c r="CN19" i="1" s="1"/>
  <c r="CL23" i="1"/>
  <c r="CL28" i="1"/>
  <c r="CM24" i="1"/>
  <c r="CN24" i="1" s="1"/>
  <c r="AF82" i="32" a="1"/>
  <c r="AF82" i="32" s="1"/>
  <c r="AB82" i="32" a="1"/>
  <c r="AB82" i="32" s="1"/>
  <c r="AD82" i="32" a="1"/>
  <c r="AD82" i="32" s="1"/>
  <c r="BS21" i="1"/>
  <c r="BR25" i="1"/>
  <c r="BS31" i="1"/>
  <c r="BT31" i="1" s="1"/>
  <c r="BR35" i="1"/>
  <c r="AE30" i="32" a="1"/>
  <c r="AE30" i="32" s="1"/>
  <c r="AC30" i="32" a="1"/>
  <c r="AC30" i="32" s="1"/>
  <c r="AE46" i="32" a="1"/>
  <c r="AE46" i="32" s="1"/>
  <c r="AC46" i="32" a="1"/>
  <c r="AC46" i="32" s="1"/>
  <c r="AE32" i="32" a="1"/>
  <c r="AE32" i="32" s="1"/>
  <c r="AC32" i="32" a="1"/>
  <c r="AC32" i="32" s="1"/>
  <c r="CL25" i="1"/>
  <c r="CM21" i="1"/>
  <c r="BR26" i="1"/>
  <c r="BS22" i="1"/>
  <c r="BT22" i="1" s="1"/>
  <c r="AF40" i="32"/>
  <c r="AG40" i="32" s="1"/>
  <c r="BR28" i="1"/>
  <c r="BS24" i="1"/>
  <c r="BT24" i="1" s="1"/>
  <c r="AF46" i="32" l="1"/>
  <c r="AG46" i="32" s="1"/>
  <c r="AF30" i="32"/>
  <c r="AG30" i="32" s="1"/>
  <c r="AF34" i="32"/>
  <c r="AG34" i="32" s="1"/>
  <c r="AF50" i="32"/>
  <c r="AG50" i="32" s="1"/>
  <c r="O32" i="33"/>
  <c r="S32" i="33"/>
  <c r="Q32" i="33"/>
  <c r="S42" i="33"/>
  <c r="Q42" i="33"/>
  <c r="O42" i="33"/>
  <c r="S99" i="33"/>
  <c r="Q99" i="33"/>
  <c r="O99" i="33"/>
  <c r="Q109" i="33"/>
  <c r="S109" i="33"/>
  <c r="O109" i="33"/>
  <c r="Q120" i="33"/>
  <c r="O120" i="33"/>
  <c r="S120" i="33"/>
  <c r="S130" i="33"/>
  <c r="Q130" i="33"/>
  <c r="O130" i="33"/>
  <c r="S70" i="33"/>
  <c r="O70" i="33"/>
  <c r="Q70" i="33"/>
  <c r="O30" i="33"/>
  <c r="Q30" i="33"/>
  <c r="S30" i="33"/>
  <c r="S111" i="33"/>
  <c r="Q111" i="33"/>
  <c r="O111" i="33"/>
  <c r="W90" i="32"/>
  <c r="W40" i="32" s="1"/>
  <c r="Q31" i="33"/>
  <c r="S31" i="33"/>
  <c r="O31" i="33"/>
  <c r="S121" i="33"/>
  <c r="O121" i="33"/>
  <c r="Q121" i="33"/>
  <c r="S45" i="33"/>
  <c r="Q45" i="33"/>
  <c r="O45" i="33"/>
  <c r="O131" i="33"/>
  <c r="Q131" i="33"/>
  <c r="S131" i="33"/>
  <c r="S19" i="33"/>
  <c r="Q19" i="33"/>
  <c r="O19" i="33"/>
  <c r="O43" i="33"/>
  <c r="S43" i="33"/>
  <c r="Q43" i="33"/>
  <c r="Q12" i="33"/>
  <c r="O12" i="33"/>
  <c r="S12" i="33"/>
  <c r="S25" i="33"/>
  <c r="O25" i="33"/>
  <c r="Q25" i="33"/>
  <c r="O108" i="33"/>
  <c r="S108" i="33"/>
  <c r="Q108" i="33"/>
  <c r="S24" i="33"/>
  <c r="Q24" i="33"/>
  <c r="O24" i="33"/>
  <c r="O118" i="33"/>
  <c r="Q118" i="33"/>
  <c r="S118" i="33"/>
  <c r="O54" i="33"/>
  <c r="S54" i="33"/>
  <c r="Q54" i="33"/>
  <c r="Q104" i="33"/>
  <c r="O104" i="33"/>
  <c r="S104" i="33"/>
  <c r="O37" i="33"/>
  <c r="S37" i="33"/>
  <c r="Q37" i="33"/>
  <c r="Q55" i="33"/>
  <c r="S55" i="33"/>
  <c r="O55" i="33"/>
  <c r="O74" i="33"/>
  <c r="Q74" i="33"/>
  <c r="S74" i="33"/>
  <c r="S40" i="33"/>
  <c r="Q40" i="33"/>
  <c r="O40" i="33"/>
  <c r="Q66" i="33"/>
  <c r="O66" i="33"/>
  <c r="S66" i="33"/>
  <c r="Q112" i="33"/>
  <c r="O112" i="33"/>
  <c r="S112" i="33"/>
  <c r="S76" i="33"/>
  <c r="O76" i="33"/>
  <c r="Q76" i="33"/>
  <c r="O122" i="33"/>
  <c r="Q122" i="33"/>
  <c r="S122" i="33"/>
  <c r="S41" i="33"/>
  <c r="Q41" i="33"/>
  <c r="O41" i="33"/>
  <c r="S64" i="33"/>
  <c r="O64" i="33"/>
  <c r="Q64" i="33"/>
  <c r="O18" i="33"/>
  <c r="S18" i="33"/>
  <c r="Q18" i="33"/>
  <c r="S65" i="33"/>
  <c r="O65" i="33"/>
  <c r="Q65" i="33"/>
  <c r="S119" i="33"/>
  <c r="Q119" i="33"/>
  <c r="O119" i="33"/>
  <c r="O59" i="33"/>
  <c r="S59" i="33"/>
  <c r="Q59" i="33"/>
  <c r="Q129" i="33"/>
  <c r="O129" i="33"/>
  <c r="S129" i="33"/>
  <c r="O10" i="33"/>
  <c r="S10" i="33"/>
  <c r="Q10" i="33"/>
  <c r="AF36" i="32"/>
  <c r="AG36" i="32" s="1"/>
  <c r="S27" i="33"/>
  <c r="O27" i="33"/>
  <c r="Q27" i="33"/>
  <c r="S75" i="33"/>
  <c r="Q75" i="33"/>
  <c r="O75" i="33"/>
  <c r="O29" i="33"/>
  <c r="S29" i="33"/>
  <c r="Q29" i="33"/>
  <c r="S89" i="33"/>
  <c r="Q89" i="33"/>
  <c r="O89" i="33"/>
  <c r="O96" i="33"/>
  <c r="S96" i="33"/>
  <c r="Q96" i="33"/>
  <c r="S106" i="33"/>
  <c r="Q106" i="33"/>
  <c r="O106" i="33"/>
  <c r="Q100" i="33"/>
  <c r="O100" i="33"/>
  <c r="S100" i="33"/>
  <c r="Q69" i="33"/>
  <c r="O69" i="33"/>
  <c r="S69" i="33"/>
  <c r="S110" i="33"/>
  <c r="Q110" i="33"/>
  <c r="O110" i="33"/>
  <c r="S134" i="33"/>
  <c r="Q134" i="33"/>
  <c r="O134" i="33"/>
  <c r="Q117" i="33"/>
  <c r="S117" i="33"/>
  <c r="O117" i="33"/>
  <c r="O141" i="33"/>
  <c r="S141" i="33"/>
  <c r="Q141" i="33"/>
  <c r="S23" i="33"/>
  <c r="Q23" i="33"/>
  <c r="O23" i="33"/>
  <c r="S90" i="33"/>
  <c r="Q90" i="33"/>
  <c r="O90" i="33"/>
  <c r="Q52" i="33"/>
  <c r="O52" i="33"/>
  <c r="S52" i="33"/>
  <c r="O39" i="33"/>
  <c r="S39" i="33"/>
  <c r="Q39" i="33"/>
  <c r="S97" i="33"/>
  <c r="Q97" i="33"/>
  <c r="O97" i="33"/>
  <c r="Q33" i="33"/>
  <c r="O33" i="33"/>
  <c r="S33" i="33"/>
  <c r="O107" i="33"/>
  <c r="S107" i="33"/>
  <c r="Q107" i="33"/>
  <c r="S16" i="33"/>
  <c r="Q16" i="33"/>
  <c r="O16" i="33"/>
  <c r="O47" i="33"/>
  <c r="S47" i="33"/>
  <c r="Q47" i="33"/>
  <c r="O44" i="33"/>
  <c r="Q44" i="33"/>
  <c r="S44" i="33"/>
  <c r="Q57" i="33"/>
  <c r="O57" i="33"/>
  <c r="S57" i="33"/>
  <c r="S85" i="33"/>
  <c r="Q85" i="33"/>
  <c r="O85" i="33"/>
  <c r="Q63" i="33"/>
  <c r="O63" i="33"/>
  <c r="S63" i="33"/>
  <c r="S11" i="33"/>
  <c r="Q11" i="33"/>
  <c r="O11" i="33"/>
  <c r="S83" i="33"/>
  <c r="Q83" i="33"/>
  <c r="O83" i="33"/>
  <c r="Q87" i="33"/>
  <c r="O87" i="33"/>
  <c r="S87" i="33"/>
  <c r="S17" i="33"/>
  <c r="Q17" i="33"/>
  <c r="O17" i="33"/>
  <c r="O132" i="33"/>
  <c r="S132" i="33"/>
  <c r="Q132" i="33"/>
  <c r="S138" i="33"/>
  <c r="Q138" i="33"/>
  <c r="O138" i="33"/>
  <c r="Q140" i="33"/>
  <c r="O140" i="33"/>
  <c r="S140" i="33"/>
  <c r="S56" i="33"/>
  <c r="O56" i="33"/>
  <c r="Q56" i="33"/>
  <c r="O58" i="33"/>
  <c r="S58" i="33"/>
  <c r="Q58" i="33"/>
  <c r="O105" i="33"/>
  <c r="S105" i="33"/>
  <c r="Q105" i="33"/>
  <c r="O68" i="33"/>
  <c r="S68" i="33"/>
  <c r="Q68" i="33"/>
  <c r="S15" i="33"/>
  <c r="Q15" i="33"/>
  <c r="O15" i="33"/>
  <c r="Q127" i="33"/>
  <c r="O127" i="33"/>
  <c r="S127" i="33"/>
  <c r="S139" i="33"/>
  <c r="Q139" i="33"/>
  <c r="O139" i="33"/>
  <c r="O135" i="33"/>
  <c r="Q135" i="33"/>
  <c r="S135" i="33"/>
  <c r="O38" i="33"/>
  <c r="Q38" i="33"/>
  <c r="S38" i="33"/>
  <c r="Q84" i="33"/>
  <c r="O84" i="33"/>
  <c r="S84" i="33"/>
  <c r="Q46" i="33"/>
  <c r="O46" i="33"/>
  <c r="S46" i="33"/>
  <c r="Q94" i="33"/>
  <c r="O94" i="33"/>
  <c r="S94" i="33"/>
  <c r="O48" i="33"/>
  <c r="Q48" i="33"/>
  <c r="S48" i="33"/>
  <c r="Q28" i="33"/>
  <c r="S28" i="33"/>
  <c r="O28" i="33"/>
  <c r="S26" i="33"/>
  <c r="O26" i="33"/>
  <c r="Q26" i="33"/>
  <c r="Q95" i="33"/>
  <c r="O95" i="33"/>
  <c r="S95" i="33"/>
  <c r="Q77" i="33"/>
  <c r="O77" i="33"/>
  <c r="S77" i="33"/>
  <c r="S142" i="33"/>
  <c r="Q142" i="33"/>
  <c r="O142" i="33"/>
  <c r="S13" i="33"/>
  <c r="Q13" i="33"/>
  <c r="O13" i="33"/>
  <c r="O128" i="33"/>
  <c r="S128" i="33"/>
  <c r="Q128" i="33"/>
  <c r="O136" i="33"/>
  <c r="S136" i="33"/>
  <c r="Q136" i="33"/>
  <c r="S14" i="33"/>
  <c r="Q14" i="33"/>
  <c r="O14" i="33"/>
  <c r="S79" i="33"/>
  <c r="Q79" i="33"/>
  <c r="O79" i="33"/>
  <c r="S133" i="33"/>
  <c r="Q133" i="33"/>
  <c r="O133" i="33"/>
  <c r="Q88" i="33"/>
  <c r="O88" i="33"/>
  <c r="S88" i="33"/>
  <c r="Q53" i="33"/>
  <c r="O53" i="33"/>
  <c r="S53" i="33"/>
  <c r="O98" i="33"/>
  <c r="S98" i="33"/>
  <c r="Q98" i="33"/>
  <c r="S116" i="33"/>
  <c r="Q116" i="33"/>
  <c r="O116" i="33"/>
  <c r="S78" i="33"/>
  <c r="Q78" i="33"/>
  <c r="O78" i="33"/>
  <c r="S126" i="33"/>
  <c r="O126" i="33"/>
  <c r="Q126" i="33"/>
  <c r="O86" i="33"/>
  <c r="S86" i="33"/>
  <c r="Q86" i="33"/>
  <c r="S137" i="33"/>
  <c r="Q137" i="33"/>
  <c r="O137" i="33"/>
  <c r="Q67" i="33"/>
  <c r="O67" i="33"/>
  <c r="S67" i="33"/>
  <c r="V82" i="32"/>
  <c r="V32" i="32" s="1"/>
  <c r="AF47" i="32"/>
  <c r="AG47" i="32" s="1"/>
  <c r="AF39" i="32"/>
  <c r="AG39" i="32" s="1"/>
  <c r="AF32" i="32"/>
  <c r="AG32" i="32" s="1"/>
  <c r="AF37" i="32"/>
  <c r="AG37" i="32" s="1"/>
  <c r="W82" i="32"/>
  <c r="W32" i="32" s="1"/>
  <c r="AF49" i="32"/>
  <c r="AG49" i="32" s="1"/>
  <c r="AF43" i="32"/>
  <c r="AG43" i="32" s="1"/>
  <c r="BM7" i="6"/>
  <c r="BN7" i="6" s="1"/>
  <c r="BL7" i="6"/>
  <c r="BK8" i="6"/>
  <c r="BR30" i="1"/>
  <c r="BS26" i="1"/>
  <c r="BT26" i="1" s="1"/>
  <c r="V90" i="32"/>
  <c r="V40" i="32" s="1"/>
  <c r="BR29" i="1"/>
  <c r="BS25" i="1"/>
  <c r="BR32" i="1"/>
  <c r="BS28" i="1"/>
  <c r="BT28" i="1" s="1"/>
  <c r="CM26" i="1"/>
  <c r="CN26" i="1" s="1"/>
  <c r="CL30" i="1"/>
  <c r="CM28" i="1"/>
  <c r="CN28" i="1" s="1"/>
  <c r="CL32" i="1"/>
  <c r="CM25" i="1"/>
  <c r="CL29" i="1"/>
  <c r="CL27" i="1"/>
  <c r="CM23" i="1"/>
  <c r="CN23" i="1" s="1"/>
  <c r="BS35" i="1"/>
  <c r="BT35" i="1" s="1"/>
  <c r="BR39" i="1"/>
  <c r="B2" i="2"/>
  <c r="BS39" i="1" l="1"/>
  <c r="BT39" i="1" s="1"/>
  <c r="BR43" i="1"/>
  <c r="BR36" i="1"/>
  <c r="BS32" i="1"/>
  <c r="BT32" i="1" s="1"/>
  <c r="BR34" i="1"/>
  <c r="BS30" i="1"/>
  <c r="BT30" i="1" s="1"/>
  <c r="BM8" i="6"/>
  <c r="BN8" i="6" s="1"/>
  <c r="BK9" i="6"/>
  <c r="BL8" i="6"/>
  <c r="CM27" i="1"/>
  <c r="CN27" i="1" s="1"/>
  <c r="CL31" i="1"/>
  <c r="BR33" i="1"/>
  <c r="BS29" i="1"/>
  <c r="CL33" i="1"/>
  <c r="CM29" i="1"/>
  <c r="CL36" i="1"/>
  <c r="CM32" i="1"/>
  <c r="CN32" i="1" s="1"/>
  <c r="CM30" i="1"/>
  <c r="CN30" i="1" s="1"/>
  <c r="CL34" i="1"/>
  <c r="CM31" i="1" l="1"/>
  <c r="CN31" i="1" s="1"/>
  <c r="CL35" i="1"/>
  <c r="BR38" i="1"/>
  <c r="BS34" i="1"/>
  <c r="BT34" i="1" s="1"/>
  <c r="CM34" i="1"/>
  <c r="CN34" i="1" s="1"/>
  <c r="CL38" i="1"/>
  <c r="CL37" i="1"/>
  <c r="CM33" i="1"/>
  <c r="BR40" i="1"/>
  <c r="BS36" i="1"/>
  <c r="BT36" i="1" s="1"/>
  <c r="BK10" i="6"/>
  <c r="BL9" i="6"/>
  <c r="BM9" i="6"/>
  <c r="BN9" i="6" s="1"/>
  <c r="BR47" i="1"/>
  <c r="BS43" i="1"/>
  <c r="BT43" i="1" s="1"/>
  <c r="CM36" i="1"/>
  <c r="CN36" i="1" s="1"/>
  <c r="CL40" i="1"/>
  <c r="BS33" i="1"/>
  <c r="BR37" i="1"/>
  <c r="BR44" i="1" l="1"/>
  <c r="BS40" i="1"/>
  <c r="BT40" i="1" s="1"/>
  <c r="BS38" i="1"/>
  <c r="BT38" i="1" s="1"/>
  <c r="BR42" i="1"/>
  <c r="CL41" i="1"/>
  <c r="CM37" i="1"/>
  <c r="CL39" i="1"/>
  <c r="CM35" i="1"/>
  <c r="CN35" i="1" s="1"/>
  <c r="BR51" i="1"/>
  <c r="BS47" i="1"/>
  <c r="BT47" i="1" s="1"/>
  <c r="CM40" i="1"/>
  <c r="CN40" i="1" s="1"/>
  <c r="CL44" i="1"/>
  <c r="BR41" i="1"/>
  <c r="BS37" i="1"/>
  <c r="BK11" i="6"/>
  <c r="BM10" i="6"/>
  <c r="BN10" i="6" s="1"/>
  <c r="BL10" i="6"/>
  <c r="CL42" i="1"/>
  <c r="CM38" i="1"/>
  <c r="CN38" i="1" s="1"/>
  <c r="CM44" i="1" l="1"/>
  <c r="CN44" i="1" s="1"/>
  <c r="CL48" i="1"/>
  <c r="CL45" i="1"/>
  <c r="CM41" i="1"/>
  <c r="CM42" i="1"/>
  <c r="CN42" i="1" s="1"/>
  <c r="CL46" i="1"/>
  <c r="BR45" i="1"/>
  <c r="BS41" i="1"/>
  <c r="BS51" i="1"/>
  <c r="BT51" i="1" s="1"/>
  <c r="BR55" i="1"/>
  <c r="BS42" i="1"/>
  <c r="BT42" i="1" s="1"/>
  <c r="BR46" i="1"/>
  <c r="BM11" i="6"/>
  <c r="BN11" i="6" s="1"/>
  <c r="BL11" i="6"/>
  <c r="BK12" i="6"/>
  <c r="CM39" i="1"/>
  <c r="CN39" i="1" s="1"/>
  <c r="CL43" i="1"/>
  <c r="BR48" i="1"/>
  <c r="BS44" i="1"/>
  <c r="BT44" i="1" s="1"/>
  <c r="BR50" i="1" l="1"/>
  <c r="BS46" i="1"/>
  <c r="BT46" i="1" s="1"/>
  <c r="BS45" i="1"/>
  <c r="BR49" i="1"/>
  <c r="CL49" i="1"/>
  <c r="CM45" i="1"/>
  <c r="BK13" i="6"/>
  <c r="BM12" i="6"/>
  <c r="BN12" i="6" s="1"/>
  <c r="BL12" i="6"/>
  <c r="CM46" i="1"/>
  <c r="CN46" i="1" s="1"/>
  <c r="CL50" i="1"/>
  <c r="CM43" i="1"/>
  <c r="CN43" i="1" s="1"/>
  <c r="CL47" i="1"/>
  <c r="BS48" i="1"/>
  <c r="BT48" i="1" s="1"/>
  <c r="BR52" i="1"/>
  <c r="BS55" i="1"/>
  <c r="BT55" i="1" s="1"/>
  <c r="BR59" i="1"/>
  <c r="CL52" i="1"/>
  <c r="CM48" i="1"/>
  <c r="CN48" i="1" s="1"/>
  <c r="BS52" i="1" l="1"/>
  <c r="BT52" i="1" s="1"/>
  <c r="BR56" i="1"/>
  <c r="CM52" i="1"/>
  <c r="CN52" i="1" s="1"/>
  <c r="CL56" i="1"/>
  <c r="BR63" i="1"/>
  <c r="BS59" i="1"/>
  <c r="BT59" i="1" s="1"/>
  <c r="CM47" i="1"/>
  <c r="CN47" i="1" s="1"/>
  <c r="CL51" i="1"/>
  <c r="BL13" i="6"/>
  <c r="BK14" i="6"/>
  <c r="BM13" i="6"/>
  <c r="BN13" i="6" s="1"/>
  <c r="CM49" i="1"/>
  <c r="CL53" i="1"/>
  <c r="BS49" i="1"/>
  <c r="BR53" i="1"/>
  <c r="CM50" i="1"/>
  <c r="CN50" i="1" s="1"/>
  <c r="CL54" i="1"/>
  <c r="BR54" i="1"/>
  <c r="BS50" i="1"/>
  <c r="BT50" i="1" s="1"/>
  <c r="BR60" i="1" l="1"/>
  <c r="BS56" i="1"/>
  <c r="BT56" i="1" s="1"/>
  <c r="CL55" i="1"/>
  <c r="CM51" i="1"/>
  <c r="CN51" i="1" s="1"/>
  <c r="CM56" i="1"/>
  <c r="CN56" i="1" s="1"/>
  <c r="CL60" i="1"/>
  <c r="CL58" i="1"/>
  <c r="CM54" i="1"/>
  <c r="CN54" i="1" s="1"/>
  <c r="BS54" i="1"/>
  <c r="BT54" i="1" s="1"/>
  <c r="BR58" i="1"/>
  <c r="CM53" i="1"/>
  <c r="CL57" i="1"/>
  <c r="BR67" i="1"/>
  <c r="BS63" i="1"/>
  <c r="BT63" i="1" s="1"/>
  <c r="BR57" i="1"/>
  <c r="BS53" i="1"/>
  <c r="BM14" i="6"/>
  <c r="BN14" i="6" s="1"/>
  <c r="BL14" i="6"/>
  <c r="BK15" i="6"/>
  <c r="CM58" i="1" l="1"/>
  <c r="CN58" i="1" s="1"/>
  <c r="CL62" i="1"/>
  <c r="BR64" i="1"/>
  <c r="BS60" i="1"/>
  <c r="BT60" i="1" s="1"/>
  <c r="BR61" i="1"/>
  <c r="BS57" i="1"/>
  <c r="BS58" i="1"/>
  <c r="BT58" i="1" s="1"/>
  <c r="BR62" i="1"/>
  <c r="CM60" i="1"/>
  <c r="CN60" i="1" s="1"/>
  <c r="CL64" i="1"/>
  <c r="BS67" i="1"/>
  <c r="BT67" i="1" s="1"/>
  <c r="BR71" i="1"/>
  <c r="BK16" i="6"/>
  <c r="BM15" i="6"/>
  <c r="BN15" i="6" s="1"/>
  <c r="BL15" i="6"/>
  <c r="CL61" i="1"/>
  <c r="CM57" i="1"/>
  <c r="CM55" i="1"/>
  <c r="CN55" i="1" s="1"/>
  <c r="CL59" i="1"/>
  <c r="BR66" i="1" l="1"/>
  <c r="BS62" i="1"/>
  <c r="BT62" i="1" s="1"/>
  <c r="BS71" i="1"/>
  <c r="BT71" i="1" s="1"/>
  <c r="BR75" i="1"/>
  <c r="BM16" i="6"/>
  <c r="BN16" i="6" s="1"/>
  <c r="BL16" i="6"/>
  <c r="BK17" i="6"/>
  <c r="CM59" i="1"/>
  <c r="CN59" i="1" s="1"/>
  <c r="CL63" i="1"/>
  <c r="BS61" i="1"/>
  <c r="BR65" i="1"/>
  <c r="CM62" i="1"/>
  <c r="CN62" i="1" s="1"/>
  <c r="CL66" i="1"/>
  <c r="CL65" i="1"/>
  <c r="CM61" i="1"/>
  <c r="CL68" i="1"/>
  <c r="CM64" i="1"/>
  <c r="CN64" i="1" s="1"/>
  <c r="BS64" i="1"/>
  <c r="BT64" i="1" s="1"/>
  <c r="BR68" i="1"/>
  <c r="CM68" i="1" l="1"/>
  <c r="CN68" i="1" s="1"/>
  <c r="CL72" i="1"/>
  <c r="CM66" i="1"/>
  <c r="CN66" i="1" s="1"/>
  <c r="CL70" i="1"/>
  <c r="CM65" i="1"/>
  <c r="CL69" i="1"/>
  <c r="BS65" i="1"/>
  <c r="BR69" i="1"/>
  <c r="BR79" i="1"/>
  <c r="BS75" i="1"/>
  <c r="BT75" i="1" s="1"/>
  <c r="CM63" i="1"/>
  <c r="CN63" i="1" s="1"/>
  <c r="CL67" i="1"/>
  <c r="BS68" i="1"/>
  <c r="BT68" i="1" s="1"/>
  <c r="BR72" i="1"/>
  <c r="BK18" i="6"/>
  <c r="BM17" i="6"/>
  <c r="BN17" i="6" s="1"/>
  <c r="BL17" i="6"/>
  <c r="BR70" i="1"/>
  <c r="BS66" i="1"/>
  <c r="BT66" i="1" s="1"/>
  <c r="BS70" i="1" l="1"/>
  <c r="BT70" i="1" s="1"/>
  <c r="BR74" i="1"/>
  <c r="BR73" i="1"/>
  <c r="BS69" i="1"/>
  <c r="BK19" i="6"/>
  <c r="BM18" i="6"/>
  <c r="BN18" i="6" s="1"/>
  <c r="BL18" i="6"/>
  <c r="BR76" i="1"/>
  <c r="BS72" i="1"/>
  <c r="BT72" i="1" s="1"/>
  <c r="CM69" i="1"/>
  <c r="CL73" i="1"/>
  <c r="CL71" i="1"/>
  <c r="CM67" i="1"/>
  <c r="CN67" i="1" s="1"/>
  <c r="CL74" i="1"/>
  <c r="CM70" i="1"/>
  <c r="CN70" i="1" s="1"/>
  <c r="CM72" i="1"/>
  <c r="CN72" i="1" s="1"/>
  <c r="CL76" i="1"/>
  <c r="BR83" i="1"/>
  <c r="BS79" i="1"/>
  <c r="BT79" i="1" s="1"/>
  <c r="BM19" i="6" l="1"/>
  <c r="BN19" i="6" s="1"/>
  <c r="BL19" i="6"/>
  <c r="BK20" i="6"/>
  <c r="BR80" i="1"/>
  <c r="BS76" i="1"/>
  <c r="BT76" i="1" s="1"/>
  <c r="CL80" i="1"/>
  <c r="CM76" i="1"/>
  <c r="CN76" i="1" s="1"/>
  <c r="CL77" i="1"/>
  <c r="CM73" i="1"/>
  <c r="BR77" i="1"/>
  <c r="BS73" i="1"/>
  <c r="CM74" i="1"/>
  <c r="CN74" i="1" s="1"/>
  <c r="CL78" i="1"/>
  <c r="CM71" i="1"/>
  <c r="CN71" i="1" s="1"/>
  <c r="CL75" i="1"/>
  <c r="BS83" i="1"/>
  <c r="BT83" i="1" s="1"/>
  <c r="BR87" i="1"/>
  <c r="BS74" i="1"/>
  <c r="BT74" i="1" s="1"/>
  <c r="BR78" i="1"/>
  <c r="CL84" i="1" l="1"/>
  <c r="CM80" i="1"/>
  <c r="CN80" i="1" s="1"/>
  <c r="BR91" i="1"/>
  <c r="BS87" i="1"/>
  <c r="BT87" i="1" s="1"/>
  <c r="CL81" i="1"/>
  <c r="CM77" i="1"/>
  <c r="CM75" i="1"/>
  <c r="CN75" i="1" s="1"/>
  <c r="CL79" i="1"/>
  <c r="CL82" i="1"/>
  <c r="CM78" i="1"/>
  <c r="CN78" i="1" s="1"/>
  <c r="BS80" i="1"/>
  <c r="BT80" i="1" s="1"/>
  <c r="BR84" i="1"/>
  <c r="BR82" i="1"/>
  <c r="BS78" i="1"/>
  <c r="BT78" i="1" s="1"/>
  <c r="BK21" i="6"/>
  <c r="BM20" i="6"/>
  <c r="BN20" i="6" s="1"/>
  <c r="BL20" i="6"/>
  <c r="BS77" i="1"/>
  <c r="BR81" i="1"/>
  <c r="CL83" i="1" l="1"/>
  <c r="CM79" i="1"/>
  <c r="CN79" i="1" s="1"/>
  <c r="BL21" i="6"/>
  <c r="BK22" i="6"/>
  <c r="BM21" i="6"/>
  <c r="BN21" i="6" s="1"/>
  <c r="BR86" i="1"/>
  <c r="BS82" i="1"/>
  <c r="BT82" i="1" s="1"/>
  <c r="CM81" i="1"/>
  <c r="CL85" i="1"/>
  <c r="BR88" i="1"/>
  <c r="BS84" i="1"/>
  <c r="BT84" i="1" s="1"/>
  <c r="BR95" i="1"/>
  <c r="BS91" i="1"/>
  <c r="BT91" i="1" s="1"/>
  <c r="BR85" i="1"/>
  <c r="BS81" i="1"/>
  <c r="CL86" i="1"/>
  <c r="CM82" i="1"/>
  <c r="CN82" i="1" s="1"/>
  <c r="CL88" i="1"/>
  <c r="CM84" i="1"/>
  <c r="CN84" i="1" s="1"/>
  <c r="CM86" i="1" l="1"/>
  <c r="CN86" i="1" s="1"/>
  <c r="CL90" i="1"/>
  <c r="BR89" i="1"/>
  <c r="BS85" i="1"/>
  <c r="BS86" i="1"/>
  <c r="BT86" i="1" s="1"/>
  <c r="BR90" i="1"/>
  <c r="BR99" i="1"/>
  <c r="BS95" i="1"/>
  <c r="BT95" i="1" s="1"/>
  <c r="BM22" i="6"/>
  <c r="BN22" i="6" s="1"/>
  <c r="BK23" i="6"/>
  <c r="BL22" i="6"/>
  <c r="CM88" i="1"/>
  <c r="CN88" i="1" s="1"/>
  <c r="CL92" i="1"/>
  <c r="BR92" i="1"/>
  <c r="BS88" i="1"/>
  <c r="BT88" i="1" s="1"/>
  <c r="CL89" i="1"/>
  <c r="CM85" i="1"/>
  <c r="CM83" i="1"/>
  <c r="CN83" i="1" s="1"/>
  <c r="CL87" i="1"/>
  <c r="BS99" i="1" l="1"/>
  <c r="BT99" i="1" s="1"/>
  <c r="BR103" i="1"/>
  <c r="BS92" i="1"/>
  <c r="BT92" i="1" s="1"/>
  <c r="BR96" i="1"/>
  <c r="BR94" i="1"/>
  <c r="BS90" i="1"/>
  <c r="BT90" i="1" s="1"/>
  <c r="CL93" i="1"/>
  <c r="CM89" i="1"/>
  <c r="CL96" i="1"/>
  <c r="CM92" i="1"/>
  <c r="CN92" i="1" s="1"/>
  <c r="CL91" i="1"/>
  <c r="CM87" i="1"/>
  <c r="CN87" i="1" s="1"/>
  <c r="BR93" i="1"/>
  <c r="BS89" i="1"/>
  <c r="BK24" i="6"/>
  <c r="BM23" i="6"/>
  <c r="BN23" i="6" s="1"/>
  <c r="BL23" i="6"/>
  <c r="CL94" i="1"/>
  <c r="CM90" i="1"/>
  <c r="CN90" i="1" s="1"/>
  <c r="BM24" i="6" l="1"/>
  <c r="BN24" i="6" s="1"/>
  <c r="BL24" i="6"/>
  <c r="BK25" i="6"/>
  <c r="CL97" i="1"/>
  <c r="CM93" i="1"/>
  <c r="BS93" i="1"/>
  <c r="BR97" i="1"/>
  <c r="BR98" i="1"/>
  <c r="BS94" i="1"/>
  <c r="BT94" i="1" s="1"/>
  <c r="BS96" i="1"/>
  <c r="BT96" i="1" s="1"/>
  <c r="BR100" i="1"/>
  <c r="CM91" i="1"/>
  <c r="CN91" i="1" s="1"/>
  <c r="CL95" i="1"/>
  <c r="CM94" i="1"/>
  <c r="CN94" i="1" s="1"/>
  <c r="CL98" i="1"/>
  <c r="BR107" i="1"/>
  <c r="BS103" i="1"/>
  <c r="BT103" i="1" s="1"/>
  <c r="CM96" i="1"/>
  <c r="CN96" i="1" s="1"/>
  <c r="CL100" i="1"/>
  <c r="BS107" i="1" l="1"/>
  <c r="BT107" i="1" s="1"/>
  <c r="BR111" i="1"/>
  <c r="BR102" i="1"/>
  <c r="BS98" i="1"/>
  <c r="BT98" i="1" s="1"/>
  <c r="CL102" i="1"/>
  <c r="CM98" i="1"/>
  <c r="CN98" i="1" s="1"/>
  <c r="BR101" i="1"/>
  <c r="BS97" i="1"/>
  <c r="CM97" i="1"/>
  <c r="CL101" i="1"/>
  <c r="CM95" i="1"/>
  <c r="CN95" i="1" s="1"/>
  <c r="CL99" i="1"/>
  <c r="CL104" i="1"/>
  <c r="CM100" i="1"/>
  <c r="CN100" i="1" s="1"/>
  <c r="BR104" i="1"/>
  <c r="BS100" i="1"/>
  <c r="BT100" i="1" s="1"/>
  <c r="BK26" i="6"/>
  <c r="BM25" i="6"/>
  <c r="BN25" i="6" s="1"/>
  <c r="BL25" i="6"/>
  <c r="BS104" i="1" l="1"/>
  <c r="BT104" i="1" s="1"/>
  <c r="BR108" i="1"/>
  <c r="BS101" i="1"/>
  <c r="BR105" i="1"/>
  <c r="CM104" i="1"/>
  <c r="CN104" i="1" s="1"/>
  <c r="CL108" i="1"/>
  <c r="CM102" i="1"/>
  <c r="CN102" i="1" s="1"/>
  <c r="CL106" i="1"/>
  <c r="CM99" i="1"/>
  <c r="CN99" i="1" s="1"/>
  <c r="CL103" i="1"/>
  <c r="BS102" i="1"/>
  <c r="BT102" i="1" s="1"/>
  <c r="BR106" i="1"/>
  <c r="CL105" i="1"/>
  <c r="CM101" i="1"/>
  <c r="BR115" i="1"/>
  <c r="BS111" i="1"/>
  <c r="BT111" i="1" s="1"/>
  <c r="BK27" i="6"/>
  <c r="BM26" i="6"/>
  <c r="BN26" i="6" s="1"/>
  <c r="BL26" i="6"/>
  <c r="CM106" i="1" l="1"/>
  <c r="CN106" i="1" s="1"/>
  <c r="CL110" i="1"/>
  <c r="BS115" i="1"/>
  <c r="BT115" i="1" s="1"/>
  <c r="BR119" i="1"/>
  <c r="BM27" i="6"/>
  <c r="BN27" i="6" s="1"/>
  <c r="BL27" i="6"/>
  <c r="BK28" i="6"/>
  <c r="CM108" i="1"/>
  <c r="CN108" i="1" s="1"/>
  <c r="CL112" i="1"/>
  <c r="CL109" i="1"/>
  <c r="CM105" i="1"/>
  <c r="BR110" i="1"/>
  <c r="BS106" i="1"/>
  <c r="BT106" i="1" s="1"/>
  <c r="BR109" i="1"/>
  <c r="BS105" i="1"/>
  <c r="CM103" i="1"/>
  <c r="CN103" i="1" s="1"/>
  <c r="CL107" i="1"/>
  <c r="BR112" i="1"/>
  <c r="BS108" i="1"/>
  <c r="BT108" i="1" s="1"/>
  <c r="BK29" i="6" l="1"/>
  <c r="BM28" i="6"/>
  <c r="BN28" i="6" s="1"/>
  <c r="BL28" i="6"/>
  <c r="BR114" i="1"/>
  <c r="BS110" i="1"/>
  <c r="BT110" i="1" s="1"/>
  <c r="BR123" i="1"/>
  <c r="BS119" i="1"/>
  <c r="BT119" i="1" s="1"/>
  <c r="BS109" i="1"/>
  <c r="BR113" i="1"/>
  <c r="BS112" i="1"/>
  <c r="BT112" i="1" s="1"/>
  <c r="BR116" i="1"/>
  <c r="CL113" i="1"/>
  <c r="CM109" i="1"/>
  <c r="CM110" i="1"/>
  <c r="CN110" i="1" s="1"/>
  <c r="CL114" i="1"/>
  <c r="CM107" i="1"/>
  <c r="CN107" i="1" s="1"/>
  <c r="CL111" i="1"/>
  <c r="CM112" i="1"/>
  <c r="CN112" i="1" s="1"/>
  <c r="CL116" i="1"/>
  <c r="BS123" i="1" l="1"/>
  <c r="BT123" i="1" s="1"/>
  <c r="BR127" i="1"/>
  <c r="CL118" i="1"/>
  <c r="CM114" i="1"/>
  <c r="CN114" i="1" s="1"/>
  <c r="CM113" i="1"/>
  <c r="CL117" i="1"/>
  <c r="BR118" i="1"/>
  <c r="BS114" i="1"/>
  <c r="BT114" i="1" s="1"/>
  <c r="CL120" i="1"/>
  <c r="CM116" i="1"/>
  <c r="CN116" i="1" s="1"/>
  <c r="BR120" i="1"/>
  <c r="BS116" i="1"/>
  <c r="BT116" i="1" s="1"/>
  <c r="CM111" i="1"/>
  <c r="CN111" i="1" s="1"/>
  <c r="CL115" i="1"/>
  <c r="BR117" i="1"/>
  <c r="BS113" i="1"/>
  <c r="BL29" i="6"/>
  <c r="BM29" i="6"/>
  <c r="BN29" i="6" s="1"/>
  <c r="BK30" i="6"/>
  <c r="BS118" i="1" l="1"/>
  <c r="BT118" i="1" s="1"/>
  <c r="BR122" i="1"/>
  <c r="BR121" i="1"/>
  <c r="BS117" i="1"/>
  <c r="CM115" i="1"/>
  <c r="CN115" i="1" s="1"/>
  <c r="CL119" i="1"/>
  <c r="CL121" i="1"/>
  <c r="CM117" i="1"/>
  <c r="BM30" i="6"/>
  <c r="BN30" i="6" s="1"/>
  <c r="BK31" i="6"/>
  <c r="BL30" i="6"/>
  <c r="BS120" i="1"/>
  <c r="BT120" i="1" s="1"/>
  <c r="BR124" i="1"/>
  <c r="CM118" i="1"/>
  <c r="CN118" i="1" s="1"/>
  <c r="CL122" i="1"/>
  <c r="BR131" i="1"/>
  <c r="BS131" i="1" s="1"/>
  <c r="BT131" i="1" s="1"/>
  <c r="BS127" i="1"/>
  <c r="BT127" i="1" s="1"/>
  <c r="CM120" i="1"/>
  <c r="CN120" i="1" s="1"/>
  <c r="CL124" i="1"/>
  <c r="CM122" i="1" l="1"/>
  <c r="CN122" i="1" s="1"/>
  <c r="CL126" i="1"/>
  <c r="CL125" i="1"/>
  <c r="CM121" i="1"/>
  <c r="CM119" i="1"/>
  <c r="CN119" i="1" s="1"/>
  <c r="CL123" i="1"/>
  <c r="BR128" i="1"/>
  <c r="BS124" i="1"/>
  <c r="BT124" i="1" s="1"/>
  <c r="CM124" i="1"/>
  <c r="CN124" i="1" s="1"/>
  <c r="CL128" i="1"/>
  <c r="BR125" i="1"/>
  <c r="BS121" i="1"/>
  <c r="BK32" i="6"/>
  <c r="BM31" i="6"/>
  <c r="BN31" i="6" s="1"/>
  <c r="BL31" i="6"/>
  <c r="BR126" i="1"/>
  <c r="BS122" i="1"/>
  <c r="BT122" i="1" s="1"/>
  <c r="CM123" i="1" l="1"/>
  <c r="CN123" i="1" s="1"/>
  <c r="CL127" i="1"/>
  <c r="BR132" i="1"/>
  <c r="BS132" i="1" s="1"/>
  <c r="BT132" i="1" s="1"/>
  <c r="BS128" i="1"/>
  <c r="BT128" i="1" s="1"/>
  <c r="BM32" i="6"/>
  <c r="BN32" i="6" s="1"/>
  <c r="BL32" i="6"/>
  <c r="BK33" i="6"/>
  <c r="BR130" i="1"/>
  <c r="BS130" i="1" s="1"/>
  <c r="BT130" i="1" s="1"/>
  <c r="BS126" i="1"/>
  <c r="BT126" i="1" s="1"/>
  <c r="BS125" i="1"/>
  <c r="BR129" i="1"/>
  <c r="BS129" i="1" s="1"/>
  <c r="CL129" i="1"/>
  <c r="CM129" i="1" s="1"/>
  <c r="CM125" i="1"/>
  <c r="CM128" i="1"/>
  <c r="CN128" i="1" s="1"/>
  <c r="CL132" i="1"/>
  <c r="CM132" i="1" s="1"/>
  <c r="CN132" i="1" s="1"/>
  <c r="CM126" i="1"/>
  <c r="CN126" i="1" s="1"/>
  <c r="CL130" i="1"/>
  <c r="CM130" i="1" s="1"/>
  <c r="CN130" i="1" s="1"/>
  <c r="BK34" i="6" l="1"/>
  <c r="BM33" i="6"/>
  <c r="BN33" i="6" s="1"/>
  <c r="BL33" i="6"/>
  <c r="CM127" i="1"/>
  <c r="CN127" i="1" s="1"/>
  <c r="CL131" i="1"/>
  <c r="CM131" i="1" s="1"/>
  <c r="CN131" i="1" s="1"/>
  <c r="BM34" i="6" l="1"/>
  <c r="BN34" i="6" s="1"/>
  <c r="BL3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<sst xmlns="http://schemas.openxmlformats.org/spreadsheetml/2006/main" count="771" uniqueCount="323">
  <si>
    <t>X</t>
  </si>
  <si>
    <t>Y</t>
  </si>
  <si>
    <t>Z</t>
  </si>
  <si>
    <t>ELE(ft)</t>
  </si>
  <si>
    <t>KP(ft)</t>
  </si>
  <si>
    <t>offset_1</t>
  </si>
  <si>
    <t>offset_2</t>
  </si>
  <si>
    <t>offset_3</t>
  </si>
  <si>
    <t>offset_4</t>
  </si>
  <si>
    <t>offset_5</t>
  </si>
  <si>
    <t>offset_6</t>
  </si>
  <si>
    <t>offset_7</t>
  </si>
  <si>
    <t>offset_8</t>
  </si>
  <si>
    <t>offset_9</t>
  </si>
  <si>
    <t>offset_10</t>
  </si>
  <si>
    <t>offset_11</t>
  </si>
  <si>
    <t>POINT</t>
  </si>
  <si>
    <t>STA</t>
  </si>
  <si>
    <t>X(ft)</t>
  </si>
  <si>
    <t>Y(ft)</t>
  </si>
  <si>
    <t>BEARING</t>
  </si>
  <si>
    <t>RADIUS</t>
  </si>
  <si>
    <t>(deg)</t>
  </si>
  <si>
    <t>SRP</t>
  </si>
  <si>
    <t>PC1</t>
  </si>
  <si>
    <t>PI1</t>
  </si>
  <si>
    <t>PT1</t>
  </si>
  <si>
    <t>PC2</t>
  </si>
  <si>
    <t>PI2</t>
  </si>
  <si>
    <t>PT2</t>
  </si>
  <si>
    <t>XING 1</t>
  </si>
  <si>
    <t>PC3</t>
  </si>
  <si>
    <t>PI3</t>
  </si>
  <si>
    <t>PT3</t>
  </si>
  <si>
    <t>ERP</t>
  </si>
  <si>
    <t>(ft)</t>
  </si>
  <si>
    <t>X(m)</t>
  </si>
  <si>
    <t>Y(m)</t>
  </si>
  <si>
    <t>(m)</t>
  </si>
  <si>
    <t>ft=</t>
  </si>
  <si>
    <t>m</t>
  </si>
  <si>
    <t>X(m)_OFFSET</t>
  </si>
  <si>
    <t>Y(m)_OFFSET</t>
  </si>
  <si>
    <t>distance</t>
  </si>
  <si>
    <t>KP(m)</t>
  </si>
  <si>
    <t>STA (m)</t>
  </si>
  <si>
    <t>max=</t>
  </si>
  <si>
    <t>min=</t>
  </si>
  <si>
    <t>center</t>
  </si>
  <si>
    <t>whole</t>
  </si>
  <si>
    <t>KP</t>
  </si>
  <si>
    <t>PI:</t>
  </si>
  <si>
    <t>DC3</t>
  </si>
  <si>
    <t>PB:</t>
  </si>
  <si>
    <t>PC:</t>
  </si>
  <si>
    <t>CC:</t>
  </si>
  <si>
    <t>PT:</t>
  </si>
  <si>
    <t>TRF</t>
  </si>
  <si>
    <t>TDP</t>
  </si>
  <si>
    <t>FLOWLINE5 (STA from DC3)</t>
  </si>
  <si>
    <t>ActiveChart.SeriesCollection.NewSeries</t>
  </si>
  <si>
    <t xml:space="preserve">    ActiveChart.FullSeriesCollection(1).Name="=Seabed_3ft!$D$2"</t>
  </si>
  <si>
    <t xml:space="preserve">    ActiveChart.FullSeriesCollection(2).Name="=Seabed_3ft!$H$2"</t>
  </si>
  <si>
    <t xml:space="preserve">    ActiveChart.FullSeriesCollection(3).Name="=Seabed_3ft!$L$2"</t>
  </si>
  <si>
    <t xml:space="preserve">    ActiveChart.FullSeriesCollection(4).Name="=Seabed_3ft!$P$2"</t>
  </si>
  <si>
    <t xml:space="preserve">    ActiveChart.FullSeriesCollection(5).Name="=Seabed_3ft!$T$2"</t>
  </si>
  <si>
    <t xml:space="preserve">    ActiveChart.FullSeriesCollection(6).Name="=Seabed_3ft!$X$2"</t>
  </si>
  <si>
    <t xml:space="preserve">    ActiveChart.FullSeriesCollection(7).Name="=Seabed_3ft!$AB$2"</t>
  </si>
  <si>
    <t xml:space="preserve">    ActiveChart.FullSeriesCollection(8).Name="=Seabed_3ft!$AF$2"</t>
  </si>
  <si>
    <t xml:space="preserve">    ActiveChart.FullSeriesCollection(9).Name="=Seabed_3ft!$AJ$2"</t>
  </si>
  <si>
    <t xml:space="preserve">    ActiveChart.FullSeriesCollection(10).Name="=Seabed_3ft!$AN$2"</t>
  </si>
  <si>
    <t xml:space="preserve">    ActiveChart.FullSeriesCollection(11).Name="=Seabed_3ft!$AR$2"</t>
  </si>
  <si>
    <t xml:space="preserve">    ActiveChart.FullSeriesCollection(12).Name="=Seabed_3ft!$AV$2"</t>
  </si>
  <si>
    <t xml:space="preserve">    ActiveChart.FullSeriesCollection(13).Name="=Seabed_3ft!$AZ$2"</t>
  </si>
  <si>
    <t xml:space="preserve">    ActiveChart.FullSeriesCollection(14).Name="=Seabed_3ft!$BD$2"</t>
  </si>
  <si>
    <t xml:space="preserve">    ActiveChart.FullSeriesCollection(15).Name="=Seabed_3ft!$BH$2"</t>
  </si>
  <si>
    <t xml:space="preserve">    ActiveChart.FullSeriesCollection(16).Name="=Seabed_3ft!$BL$2"</t>
  </si>
  <si>
    <t xml:space="preserve">    ActiveChart.FullSeriesCollection(17).Name="=Seabed_3ft!$BP$2"</t>
  </si>
  <si>
    <t xml:space="preserve">    ActiveChart.FullSeriesCollection(18).Name="=Seabed_3ft!$BT$2"</t>
  </si>
  <si>
    <t xml:space="preserve">    ActiveChart.FullSeriesCollection(19).Name="=Seabed_3ft!$BX$2"</t>
  </si>
  <si>
    <t xml:space="preserve">    ActiveChart.FullSeriesCollection(20).Name="=Seabed_3ft!$CB$2"</t>
  </si>
  <si>
    <t xml:space="preserve">    ActiveChart.FullSeriesCollection(21).Name="=Seabed_3ft!$CF$2"</t>
  </si>
  <si>
    <t xml:space="preserve">    ActiveChart.FullSeriesCollection(22).Name="=Seabed_3ft!$CJ$2"</t>
  </si>
  <si>
    <t xml:space="preserve">    ActiveChart.FullSeriesCollection(23).Name="=Seabed_3ft!$CN$2"</t>
  </si>
  <si>
    <t xml:space="preserve">    ActiveChart.FullSeriesCollection(24).Name="=Seabed_3ft!$CR$2"</t>
  </si>
  <si>
    <t xml:space="preserve">    ActiveChart.FullSeriesCollection(25).Name="=Seabed_3ft!$CV$2"</t>
  </si>
  <si>
    <t xml:space="preserve">    ActiveChart.FullSeriesCollection(26).Name="=Seabed_3ft!$CZ$2"</t>
  </si>
  <si>
    <t xml:space="preserve">    ActiveChart.FullSeriesCollection(27).Name="=Seabed_3ft!$DD$2"</t>
  </si>
  <si>
    <t xml:space="preserve">    ActiveChart.FullSeriesCollection(28).Name="=Seabed_3ft!$DH$2"</t>
  </si>
  <si>
    <t xml:space="preserve">    ActiveChart.FullSeriesCollection(29).Name="=Seabed_3ft!$DL$2"</t>
  </si>
  <si>
    <t xml:space="preserve">    ActiveChart.FullSeriesCollection(30).Name="=Seabed_3ft!$DP$2"</t>
  </si>
  <si>
    <t xml:space="preserve">    ActiveChart.FullSeriesCollection(31).Name="=Seabed_3ft!$DT$2"</t>
  </si>
  <si>
    <t xml:space="preserve">    ActiveChart.FullSeriesCollection(32).Name="=Seabed_3ft!$DX$2"</t>
  </si>
  <si>
    <t xml:space="preserve">    ActiveChart.FullSeriesCollection(33).Name="=Seabed_3ft!$EB$2"</t>
  </si>
  <si>
    <t xml:space="preserve">    ActiveChart.FullSeriesCollection(1).XValues="=Seabed_3ft!$D$14198:$D$14398"</t>
  </si>
  <si>
    <t xml:space="preserve">    ActiveChart.FullSeriesCollection(1).Values="=Seabed_3ft!$E$14198:$E$14398"</t>
  </si>
  <si>
    <t xml:space="preserve">    ActiveChart.FullSeriesCollection(2).XValues="=Seabed_3ft!$H$14198:$H$14398"</t>
  </si>
  <si>
    <t xml:space="preserve">    ActiveChart.FullSeriesCollection(2).Values="=Seabed_3ft!$I$14198:$I$14398"</t>
  </si>
  <si>
    <t xml:space="preserve">    ActiveChart.FullSeriesCollection(3).XValues="=Seabed_3ft!$L$14198:$L$14398"</t>
  </si>
  <si>
    <t xml:space="preserve">    ActiveChart.FullSeriesCollection(3).Values="=Seabed_3ft!$M$14198:$M$14398"</t>
  </si>
  <si>
    <t xml:space="preserve">    ActiveChart.FullSeriesCollection(5).XValues="=Seabed_3ft!$T$14198:$T$14398"</t>
  </si>
  <si>
    <t xml:space="preserve">    ActiveChart.FullSeriesCollection(5).Values="=Seabed_3ft!$U$14198:$U$14398"</t>
  </si>
  <si>
    <t xml:space="preserve">    ActiveChart.FullSeriesCollection(6).XValues="=Seabed_3ft!$X$14198:$X$14398"</t>
  </si>
  <si>
    <t xml:space="preserve">    ActiveChart.FullSeriesCollection(6).Values="=Seabed_3ft!$Y$14198:$Y$14398"</t>
  </si>
  <si>
    <t xml:space="preserve">    ActiveChart.FullSeriesCollection(7).XValues="=Seabed_3ft!$AB$14198:$AB$14398"</t>
  </si>
  <si>
    <t xml:space="preserve">    ActiveChart.FullSeriesCollection(7).Values="=Seabed_3ft!$AC$14198:$AC$14398"</t>
  </si>
  <si>
    <t xml:space="preserve">    ActiveChart.FullSeriesCollection(8).XValues="=Seabed_3ft!$AF$14198:$AF$14398"</t>
  </si>
  <si>
    <t xml:space="preserve">    ActiveChart.FullSeriesCollection(8).Values="=Seabed_3ft!$AG$14198:$AG$14398"</t>
  </si>
  <si>
    <t xml:space="preserve">    ActiveChart.FullSeriesCollection(9).XValues="=Seabed_3ft!$AJ$14198:$AJ$14398"</t>
  </si>
  <si>
    <t xml:space="preserve">    ActiveChart.FullSeriesCollection(9).Values="=Seabed_3ft!$AK$14198:$AK$14398"</t>
  </si>
  <si>
    <t xml:space="preserve">    ActiveChart.FullSeriesCollection(10).XValues="=Seabed_3ft!$AN$14198:$AN$14398"</t>
  </si>
  <si>
    <t xml:space="preserve">    ActiveChart.FullSeriesCollection(10).Values="=Seabed_3ft!$AO$14198:$AO$14398"</t>
  </si>
  <si>
    <t xml:space="preserve">    ActiveChart.FullSeriesCollection(11).XValues="=Seabed_3ft!$AR$14198:$AR$14398"</t>
  </si>
  <si>
    <t xml:space="preserve">    ActiveChart.FullSeriesCollection(11).Values="=Seabed_3ft!$AS$14198:$AS$14398"</t>
  </si>
  <si>
    <t xml:space="preserve">    ActiveChart.FullSeriesCollection(12).XValues="=Seabed_3ft!$AV$14198:$AV$14398"</t>
  </si>
  <si>
    <t xml:space="preserve">    ActiveChart.FullSeriesCollection(12).Values="=Seabed_3ft!$AW$14198:$AW$14398"</t>
  </si>
  <si>
    <t xml:space="preserve">    ActiveChart.FullSeriesCollection(13).XValues="=Seabed_3ft!$AZ$14198:$AZ$14398"</t>
  </si>
  <si>
    <t xml:space="preserve">    ActiveChart.FullSeriesCollection(13).Values="=Seabed_3ft!$BA$14198:$BA$14398"</t>
  </si>
  <si>
    <t xml:space="preserve">    ActiveChart.FullSeriesCollection(15).XValues="=Seabed_3ft!$BH$14198:$BH$14398"</t>
  </si>
  <si>
    <t xml:space="preserve">    ActiveChart.FullSeriesCollection(15).Values="=Seabed_3ft!$BI$14198:$BI$14398"</t>
  </si>
  <si>
    <t xml:space="preserve">    ActiveChart.FullSeriesCollection(16).XValues="=Seabed_3ft!$BL$14198:$BL$14398"</t>
  </si>
  <si>
    <t xml:space="preserve">    ActiveChart.FullSeriesCollection(16).Values="=Seabed_3ft!$BM$14198:$BM$14398"</t>
  </si>
  <si>
    <t xml:space="preserve">    ActiveChart.FullSeriesCollection(17).XValues="=Seabed_3ft!$BP$14198:$BP$14398"</t>
  </si>
  <si>
    <t xml:space="preserve">    ActiveChart.FullSeriesCollection(17).Values="=Seabed_3ft!$BQ$14198:$BQ$14398"</t>
  </si>
  <si>
    <t xml:space="preserve">    ActiveChart.FullSeriesCollection(18).XValues="=Seabed_3ft!$BT$14198:$BT$14398"</t>
  </si>
  <si>
    <t xml:space="preserve">    ActiveChart.FullSeriesCollection(18).Values="=Seabed_3ft!$BU$14198:$BU$14398"</t>
  </si>
  <si>
    <t xml:space="preserve">    ActiveChart.FullSeriesCollection(19).XValues="=Seabed_3ft!$BX$14198:$BX$14398"</t>
  </si>
  <si>
    <t xml:space="preserve">    ActiveChart.FullSeriesCollection(19).Values="=Seabed_3ft!$BY$14198:$BY$14398"</t>
  </si>
  <si>
    <t xml:space="preserve">    ActiveChart.FullSeriesCollection(20).XValues="=Seabed_3ft!$CB$14198:$CB$14398"</t>
  </si>
  <si>
    <t xml:space="preserve">    ActiveChart.FullSeriesCollection(20).Values="=Seabed_3ft!$CC$14198:$CC$14398"</t>
  </si>
  <si>
    <t xml:space="preserve">    ActiveChart.FullSeriesCollection(21).XValues="=Seabed_3ft!$CF$14198:$CF$14398"</t>
  </si>
  <si>
    <t xml:space="preserve">    ActiveChart.FullSeriesCollection(21).Values="=Seabed_3ft!$CG$14198:$CG$14398"</t>
  </si>
  <si>
    <t xml:space="preserve">    ActiveChart.FullSeriesCollection(22).XValues="=Seabed_3ft!$CJ$14198:$CJ$14398"</t>
  </si>
  <si>
    <t xml:space="preserve">    ActiveChart.FullSeriesCollection(22).Values="=Seabed_3ft!$CK$14198:$CK$14398"</t>
  </si>
  <si>
    <t xml:space="preserve">    ActiveChart.FullSeriesCollection(23).XValues="=Seabed_3ft!$CN$14198:$CN$14398"</t>
  </si>
  <si>
    <t xml:space="preserve">    ActiveChart.FullSeriesCollection(23).Values="=Seabed_3ft!$CO$14198:$CO$14398"</t>
  </si>
  <si>
    <t xml:space="preserve">    ActiveChart.FullSeriesCollection(25).XValues="=Seabed_3ft!$CV$14198:$CV$14398"</t>
  </si>
  <si>
    <t xml:space="preserve">    ActiveChart.FullSeriesCollection(25).Values="=Seabed_3ft!$CW$14198:$CW$14398"</t>
  </si>
  <si>
    <t xml:space="preserve">    ActiveChart.FullSeriesCollection(26).XValues="=Seabed_3ft!$CZ$14198:$CZ$14398"</t>
  </si>
  <si>
    <t xml:space="preserve">    ActiveChart.FullSeriesCollection(26).Values="=Seabed_3ft!$DA$14198:$DA$14398"</t>
  </si>
  <si>
    <t xml:space="preserve">    ActiveChart.FullSeriesCollection(27).XValues="=Seabed_3ft!$DD$14198:$DD$14398"</t>
  </si>
  <si>
    <t xml:space="preserve">    ActiveChart.FullSeriesCollection(27).Values="=Seabed_3ft!$DE$14198:$DE$14398"</t>
  </si>
  <si>
    <t xml:space="preserve">    ActiveChart.FullSeriesCollection(28).XValues="=Seabed_3ft!$DH$14198:$DH$14398"</t>
  </si>
  <si>
    <t xml:space="preserve">    ActiveChart.FullSeriesCollection(28).Values="=Seabed_3ft!$DI$14198:$DI$14398"</t>
  </si>
  <si>
    <t xml:space="preserve">    ActiveChart.FullSeriesCollection(29).XValues="=Seabed_3ft!$DL$14198:$DL$14398"</t>
  </si>
  <si>
    <t xml:space="preserve">    ActiveChart.FullSeriesCollection(29).Values="=Seabed_3ft!$DM$14198:$DM$14398"</t>
  </si>
  <si>
    <t xml:space="preserve">    ActiveChart.FullSeriesCollection(30).XValues="=Seabed_3ft!$DP$14198:$DP$14398"</t>
  </si>
  <si>
    <t xml:space="preserve">    ActiveChart.FullSeriesCollection(30).Values="=Seabed_3ft!$DQ$14198:$DQ$14398"</t>
  </si>
  <si>
    <t xml:space="preserve">    ActiveChart.FullSeriesCollection(31).XValues="=Seabed_3ft!$DT$14198:$DT$14398"</t>
  </si>
  <si>
    <t xml:space="preserve">    ActiveChart.FullSeriesCollection(31).Values="=Seabed_3ft!$DU$14198:$DU$14398"</t>
  </si>
  <si>
    <t xml:space="preserve">    ActiveChart.FullSeriesCollection(32).XValues="=Seabed_3ft!$DX$14198:$DX$14398"</t>
  </si>
  <si>
    <t xml:space="preserve">    ActiveChart.FullSeriesCollection(32).Values="=Seabed_3ft!$DY$14198:$DY$14398"</t>
  </si>
  <si>
    <t xml:space="preserve">    ActiveChart.FullSeriesCollection(33).XValues="=Seabed_3ft!$EB$14198:$EB$14398"</t>
  </si>
  <si>
    <t xml:space="preserve">    ActiveChart.FullSeriesCollection(4).XValues="=Seabed_3ft!$P$14198:$P$14398"</t>
  </si>
  <si>
    <t xml:space="preserve">    ActiveChart.FullSeriesCollection(4).Values="=Seabed_3ft!$Q$14198:$Q$14398"</t>
  </si>
  <si>
    <t xml:space="preserve">    ActiveChart.FullSeriesCollection(14).XValues="=Seabed_3ft!$BD$14198:$BD$14398"</t>
  </si>
  <si>
    <t xml:space="preserve">    ActiveChart.FullSeriesCollection(14).Values="=Seabed_3ft!$BE$14198:$BE$14398"</t>
  </si>
  <si>
    <t xml:space="preserve">    ActiveChart.FullSeriesCollection(24).XValues="=Seabed_3ft!$CR$14198:$CR$14398"</t>
  </si>
  <si>
    <t xml:space="preserve">    ActiveChart.FullSeriesCollection(24).Values="=Seabed_3ft!$CS$14198:$CS$14398"</t>
  </si>
  <si>
    <t xml:space="preserve">    ActiveChart.FullSeriesCollection(33).Values="=Seabed_3ft!$EC$14198:$EC$14398"</t>
  </si>
  <si>
    <t>1</t>
  </si>
  <si>
    <t>2</t>
  </si>
  <si>
    <t>3</t>
  </si>
  <si>
    <t xml:space="preserve">    ActiveChart.FullSeriesCollection(3).XValues="=Seabed_3ft!$K$11733:$K$11770"</t>
  </si>
  <si>
    <t xml:space="preserve">    ActiveChart.FullSeriesCollection(3).Values="=Seabed_3ft!$N$11733:$N$11770"</t>
  </si>
  <si>
    <t xml:space="preserve">    ActiveChart.FullSeriesCollection(4).XValues="=Seabed_3ft!$O$11733:$O$11770"</t>
  </si>
  <si>
    <t xml:space="preserve">    ActiveChart.FullSeriesCollection(4).Values="=Seabed_3ft!$R$11733:$R$11770"</t>
  </si>
  <si>
    <t xml:space="preserve">    ActiveChart.FullSeriesCollection(5).XValues="=Seabed_3ft!$S$11733:$S$11770"</t>
  </si>
  <si>
    <t xml:space="preserve">    ActiveChart.FullSeriesCollection(5).Values="=Seabed_3ft!$V$11733:$V$11770"</t>
  </si>
  <si>
    <t xml:space="preserve">    ActiveChart.FullSeriesCollection(6).XValues="=Seabed_3ft!$W$11733:$W$11770"</t>
  </si>
  <si>
    <t xml:space="preserve">    ActiveChart.FullSeriesCollection(6).Values="=Seabed_3ft!$Z$11733:$Z$11770"</t>
  </si>
  <si>
    <t xml:space="preserve">    ActiveChart.FullSeriesCollection(7).XValues="=Seabed_3ft!$AA$11733:$AA$11770"</t>
  </si>
  <si>
    <t xml:space="preserve">    ActiveChart.FullSeriesCollection(7).Values="=Seabed_3ft!$AD$11733:$AD$11770"</t>
  </si>
  <si>
    <t xml:space="preserve">    ActiveChart.FullSeriesCollection(8).XValues="=Seabed_3ft!$AE$11733:$AE$11770"</t>
  </si>
  <si>
    <t xml:space="preserve">    ActiveChart.FullSeriesCollection(8).Values="=Seabed_3ft!$AH$11733:$AH$11770"</t>
  </si>
  <si>
    <t xml:space="preserve">    ActiveChart.FullSeriesCollection(9).XValues="=Seabed_3ft!$AI$11733:$AI$11770"</t>
  </si>
  <si>
    <t xml:space="preserve">    ActiveChart.FullSeriesCollection(9).Values="=Seabed_3ft!$AL$11733:$AL$11770"</t>
  </si>
  <si>
    <t xml:space="preserve">    ActiveChart.FullSeriesCollection(10).XValues="=Seabed_3ft!$AM$11733:$AM$11770"</t>
  </si>
  <si>
    <t xml:space="preserve">    ActiveChart.FullSeriesCollection(10).Values="=Seabed_3ft!$AP$11733:$AP$11770"</t>
  </si>
  <si>
    <t xml:space="preserve">    ActiveChart.FullSeriesCollection(11).XValues="=Seabed_3ft!$AQ$11733:$AQ$11770"</t>
  </si>
  <si>
    <t xml:space="preserve">    ActiveChart.FullSeriesCollection(11).Values="=Seabed_3ft!$AT$11733:$AT$11770"</t>
  </si>
  <si>
    <t xml:space="preserve">    ActiveChart.FullSeriesCollection(12).XValues="=Seabed_3ft!$AU$11733:$AU$11770"</t>
  </si>
  <si>
    <t xml:space="preserve">    ActiveChart.FullSeriesCollection(12).Values="=Seabed_3ft!$AX$11733:$AX$11770"</t>
  </si>
  <si>
    <t xml:space="preserve">    ActiveChart.FullSeriesCollection(13).XValues="=Seabed_3ft!$AY$11733:$AY$11770"</t>
  </si>
  <si>
    <t xml:space="preserve">    ActiveChart.FullSeriesCollection(13).Values="=Seabed_3ft!$BB$11733:$BB$11770"</t>
  </si>
  <si>
    <t>Row_KP</t>
  </si>
  <si>
    <t>Offset_NO</t>
  </si>
  <si>
    <t>Row_Z</t>
  </si>
  <si>
    <t>PE:</t>
  </si>
  <si>
    <t>DBM1</t>
  </si>
  <si>
    <t>DBM2</t>
  </si>
  <si>
    <t>DBM3</t>
  </si>
  <si>
    <t>DBM4</t>
  </si>
  <si>
    <t>DBM5</t>
  </si>
  <si>
    <t>DBM6</t>
  </si>
  <si>
    <t>DBM7</t>
  </si>
  <si>
    <t>DBM8</t>
  </si>
  <si>
    <t>Row1</t>
  </si>
  <si>
    <t>(-)</t>
  </si>
  <si>
    <t>Row2</t>
  </si>
  <si>
    <t>KP1</t>
  </si>
  <si>
    <t>KP2</t>
  </si>
  <si>
    <t>WD1</t>
  </si>
  <si>
    <t>WD2</t>
  </si>
  <si>
    <t>WD</t>
  </si>
  <si>
    <t>length(m)</t>
  </si>
  <si>
    <t>total(m)=</t>
  </si>
  <si>
    <t>average=</t>
  </si>
  <si>
    <t>X1</t>
  </si>
  <si>
    <t>X2</t>
  </si>
  <si>
    <t>Y1</t>
  </si>
  <si>
    <t>Y2</t>
  </si>
  <si>
    <t>STA (ft)</t>
  </si>
  <si>
    <t>span#2</t>
  </si>
  <si>
    <t>span#1</t>
  </si>
  <si>
    <t>Span#2</t>
  </si>
  <si>
    <t>Span#1</t>
  </si>
  <si>
    <t>Rogue#1</t>
  </si>
  <si>
    <t>Rogue#2</t>
  </si>
  <si>
    <t>Rogue#3</t>
  </si>
  <si>
    <t>Rogue#4</t>
  </si>
  <si>
    <t>Rogue#5</t>
  </si>
  <si>
    <t>Rogue#6</t>
  </si>
  <si>
    <t>Rogue#7</t>
  </si>
  <si>
    <t>Rogue#8</t>
  </si>
  <si>
    <t>Rogue#9</t>
  </si>
  <si>
    <t>Rogue#10</t>
  </si>
  <si>
    <t>Rogue#11</t>
  </si>
  <si>
    <t>Rogue#12</t>
  </si>
  <si>
    <t>Rogue#13</t>
  </si>
  <si>
    <t>Rogue#14</t>
  </si>
  <si>
    <t>Rogue#15</t>
  </si>
  <si>
    <t>Rogue#16</t>
  </si>
  <si>
    <t>Rogue#17</t>
  </si>
  <si>
    <t>Rogue#18</t>
  </si>
  <si>
    <t>Rogue#19</t>
  </si>
  <si>
    <t>lateral deflection (m)</t>
  </si>
  <si>
    <t>buckle during hydrotest</t>
  </si>
  <si>
    <t>Mechanical Strain (%)</t>
  </si>
  <si>
    <t>curve1</t>
  </si>
  <si>
    <t>curve2</t>
  </si>
  <si>
    <t>curve3</t>
  </si>
  <si>
    <t>STA(m)</t>
  </si>
  <si>
    <t>upheaval</t>
  </si>
  <si>
    <t>X (Feet)</t>
  </si>
  <si>
    <t>Y (Feet)</t>
  </si>
  <si>
    <t>**</t>
  </si>
  <si>
    <t>offsetX=</t>
  </si>
  <si>
    <t>** File generated by the general flowline pre-process v2.00</t>
  </si>
  <si>
    <t>offsetY=</t>
  </si>
  <si>
    <t>** Generated by: Wei Qiao</t>
  </si>
  <si>
    <t>OffsetZ=</t>
  </si>
  <si>
    <t>** Generated at: 5/6/2026 4:37:12 PM</t>
  </si>
  <si>
    <t>** Model name: BPTiber_No_BM_FL6_TestConcept</t>
  </si>
  <si>
    <t>** Corridor #1</t>
  </si>
  <si>
    <t>deltaX</t>
  </si>
  <si>
    <t>deltaY</t>
  </si>
  <si>
    <t>deltaZ</t>
  </si>
  <si>
    <t>** Corridor #2</t>
  </si>
  <si>
    <t>** Corridor #3</t>
  </si>
  <si>
    <t>** Corridor #4</t>
  </si>
  <si>
    <t>** Corridor #5</t>
  </si>
  <si>
    <t>** Corridor #6</t>
  </si>
  <si>
    <t>** Corridor #7</t>
  </si>
  <si>
    <t>** Corridor #8</t>
  </si>
  <si>
    <t>** Corridor #9</t>
  </si>
  <si>
    <t>** Corridor #10</t>
  </si>
  <si>
    <t>** Corridor #11</t>
  </si>
  <si>
    <t>Seabed Input Workflow</t>
  </si>
  <si>
    <t>Manual refresh of the detected-line seabed grid and FL6 route calculations</t>
  </si>
  <si>
    <t>Input area</t>
  </si>
  <si>
    <t>Location</t>
  </si>
  <si>
    <t>Units</t>
  </si>
  <si>
    <t>Expected layout</t>
  </si>
  <si>
    <t>Macro action</t>
  </si>
  <si>
    <t>User maintained</t>
  </si>
  <si>
    <t>Raw seabed</t>
  </si>
  <si>
    <t>Data!A:D</t>
  </si>
  <si>
    <t>ft</t>
  </si>
  <si>
    <t>Equal XY spacing within each cross-section</t>
  </si>
  <si>
    <t>Detect count, sort, unweave</t>
  </si>
  <si>
    <t>Yes</t>
  </si>
  <si>
    <t>Route profile</t>
  </si>
  <si>
    <t>FL6new2!A:D</t>
  </si>
  <si>
    <t>X, Y, water depth, station</t>
  </si>
  <si>
    <t>Interpolate key-point depth</t>
  </si>
  <si>
    <t>Key points</t>
  </si>
  <si>
    <t>FL6new2!T:Y</t>
  </si>
  <si>
    <t>ft / deg</t>
  </si>
  <si>
    <t>Point, station, X, Y, bearing, radius</t>
  </si>
  <si>
    <t>Convert and offset</t>
  </si>
  <si>
    <t>Modified mesh</t>
  </si>
  <si>
    <t>ModSeabed!A:D</t>
  </si>
  <si>
    <t>Header and numbered corridor blocks</t>
  </si>
  <si>
    <t>Copy corridor XYZ and rebuild formulas</t>
  </si>
  <si>
    <t>Run the seabed workflow first. Then update ModSeabed!A:D and run the ModSeabed workflow.</t>
  </si>
  <si>
    <t>RUN SEABED WORKFLOW</t>
  </si>
  <si>
    <t>RUN MODSEABED WORKFLOW</t>
  </si>
  <si>
    <t>Status</t>
  </si>
  <si>
    <t>Last run</t>
  </si>
  <si>
    <t>Output rows</t>
  </si>
  <si>
    <t>Output range</t>
  </si>
  <si>
    <t>Workflow details</t>
  </si>
  <si>
    <t>Data</t>
  </si>
  <si>
    <t>Detect line count from XY spacing and validate complete cross-sections</t>
  </si>
  <si>
    <t>Seabed_3ft</t>
  </si>
  <si>
    <t>Build the detected route lines and extend both ends by 100 ft in plan</t>
  </si>
  <si>
    <t>Seabed_m / offset</t>
  </si>
  <si>
    <t>Convert to metres and subtract the SRP X/Y coordinates</t>
  </si>
  <si>
    <t>4</t>
  </si>
  <si>
    <t>Final output</t>
  </si>
  <si>
    <t>Use line floor(count/2)+1 for station; write detected elevations from AU</t>
  </si>
  <si>
    <t>5</t>
  </si>
  <si>
    <t>ModSeabed</t>
  </si>
  <si>
    <t>Map Corridor #1 to the highest offset, copy I:K, and rebuild dependent formulas</t>
  </si>
  <si>
    <t>Cross-section</t>
  </si>
  <si>
    <t>Sequence</t>
  </si>
  <si>
    <t>Start extension</t>
  </si>
  <si>
    <t>End extension</t>
  </si>
  <si>
    <t>X_OFFSET</t>
  </si>
  <si>
    <t>Y_OFFSET</t>
  </si>
  <si>
    <t>Complete: 11 lines; route warning</t>
  </si>
  <si>
    <t>Seabed_m_offset!AU4:BF8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</si>
</sst>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yyyy\-mm\-dd\ hh:mm:ss"/>
  </numFmts>
  <fonts count="21" x14ac:knownFonts="1">
    <font>
      <sz val="11"/>
      <color theme="1"/>
      <name val="Calibri"/>
    </font>
    <font>
      <sz val="8"/>
      <name val="Calibri"/>
    </font>
    <font>
      <b/>
      <sz val="11"/>
      <color theme="1"/>
      <name val="Calibri"/>
    </font>
    <font>
      <b/>
      <sz val="11"/>
      <color rgb="FFFF0000"/>
      <name val="Calibri"/>
    </font>
    <font>
      <sz val="11"/>
      <color theme="1"/>
      <name val="Calibri"/>
    </font>
    <font>
      <sz val="11"/>
      <color rgb="FFFF0000"/>
      <name val="Calibri"/>
    </font>
    <font>
      <b/>
      <sz val="11"/>
      <color rgb="FFFF00FF"/>
      <name val="Calibri"/>
    </font>
    <font>
      <sz val="11"/>
      <color rgb="FFFF00FF"/>
      <name val="Calibri"/>
    </font>
    <font>
      <sz val="11"/>
      <color theme="5"/>
      <name val="Calibri"/>
    </font>
    <font>
      <sz val="11"/>
      <color rgb="FFCD5937"/>
      <name val="Calibri"/>
    </font>
    <font>
      <sz val="10"/>
      <color rgb="FF243447"/>
      <name val="Aptos"/>
    </font>
    <font>
      <b/>
      <sz val="20"/>
      <color rgb="FFFFFFFF"/>
      <name val="Aptos Display"/>
    </font>
    <font>
      <i/>
      <sz val="10"/>
      <color rgb="FF35515C"/>
      <name val="Aptos"/>
    </font>
    <font>
      <b/>
      <sz val="10"/>
      <color rgb="FFFFFFFF"/>
      <name val="Aptos"/>
    </font>
    <font>
      <b/>
      <sz val="11"/>
      <color rgb="FF6B4F00"/>
      <name val="Aptos"/>
    </font>
    <font>
      <b/>
      <sz val="16"/>
      <color rgb="FFFFFFFF"/>
      <name val="Aptos Display"/>
    </font>
    <font>
      <b/>
      <sz val="14"/>
      <color rgb="FFFFFFFF"/>
      <name val="Aptos Display"/>
    </font>
    <font>
      <b/>
      <sz val="10"/>
      <color rgb="FF243447"/>
      <name val="Aptos"/>
    </font>
    <font>
      <b/>
      <sz val="11"/>
      <color rgb="FFFFFFFF"/>
      <name val="Aptos"/>
    </font>
    <font>
      <b/>
      <sz val="11"/>
      <color rgb="FF0F4C5C"/>
      <name val="Aptos"/>
    </font>
    <font>
      <b/>
      <sz val="11"/>
      <color theme="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6" tint="0.79995117038483843"/>
        <bgColor indexed="65"/>
      </patternFill>
    </fill>
    <fill>
      <patternFill patternType="solid">
        <fgColor rgb="FFE5CEFC"/>
      </patternFill>
    </fill>
    <fill>
      <patternFill patternType="solid">
        <fgColor theme="2" tint="-0.249977111117893"/>
        <bgColor indexed="65"/>
      </patternFill>
    </fill>
    <fill>
      <patternFill patternType="solid">
        <fgColor rgb="FF0F4C5C"/>
      </patternFill>
    </fill>
    <fill>
      <patternFill patternType="solid">
        <fgColor rgb="FFD9EAF0"/>
      </patternFill>
    </fill>
    <fill>
      <patternFill patternType="solid">
        <fgColor rgb="FF176B75"/>
      </patternFill>
    </fill>
    <fill>
      <patternFill patternType="solid">
        <fgColor rgb="FFF5F9FA"/>
      </patternFill>
    </fill>
    <fill>
      <patternFill patternType="solid">
        <fgColor rgb="FFFFF4D6"/>
      </patternFill>
    </fill>
    <fill>
      <patternFill patternType="solid">
        <fgColor rgb="FF0F766E"/>
      </patternFill>
    </fill>
    <fill>
      <patternFill patternType="solid">
        <fgColor rgb="FF334E68"/>
      </patternFill>
    </fill>
    <fill>
      <patternFill patternType="solid">
        <fgColor rgb="FFE9EFF2"/>
      </patternFill>
    </fill>
    <fill>
      <patternFill patternType="solid">
        <fgColor rgb="FFFFFFFF"/>
      </patternFill>
    </fill>
    <fill>
      <patternFill patternType="solid">
        <fgColor rgb="FFF8FAFC"/>
      </patternFill>
    </fill>
    <fill>
      <patternFill patternType="solid">
        <fgColor rgb="FFFFF4D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2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0" borderId="0" xfId="0" applyFont="1"/>
    <xf numFmtId="2" fontId="0" fillId="5" borderId="0" xfId="0" applyNumberFormat="1" applyFill="1"/>
    <xf numFmtId="0" fontId="4" fillId="0" borderId="0" xfId="0" applyFont="1"/>
    <xf numFmtId="165" fontId="0" fillId="0" borderId="0" xfId="0" applyNumberFormat="1"/>
    <xf numFmtId="165" fontId="0" fillId="3" borderId="0" xfId="0" applyNumberFormat="1" applyFill="1"/>
    <xf numFmtId="165" fontId="0" fillId="4" borderId="0" xfId="0" applyNumberFormat="1" applyFill="1"/>
    <xf numFmtId="165" fontId="0" fillId="5" borderId="0" xfId="0" applyNumberFormat="1" applyFill="1"/>
    <xf numFmtId="0" fontId="0" fillId="7" borderId="0" xfId="0" applyFill="1"/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3" fillId="8" borderId="0" xfId="0" applyFont="1" applyFill="1" applyAlignment="1">
      <alignment horizontal="center"/>
    </xf>
    <xf numFmtId="164" fontId="5" fillId="8" borderId="0" xfId="0" applyNumberFormat="1" applyFont="1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2" fontId="0" fillId="8" borderId="0" xfId="0" applyNumberFormat="1" applyFill="1"/>
    <xf numFmtId="0" fontId="6" fillId="7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0" fillId="7" borderId="0" xfId="0" applyFill="1" applyAlignment="1">
      <alignment horizontal="center"/>
    </xf>
    <xf numFmtId="2" fontId="0" fillId="7" borderId="0" xfId="0" applyNumberFormat="1" applyFill="1"/>
    <xf numFmtId="0" fontId="0" fillId="9" borderId="0" xfId="0" applyFill="1"/>
    <xf numFmtId="2" fontId="0" fillId="9" borderId="0" xfId="0" applyNumberFormat="1" applyFill="1"/>
    <xf numFmtId="0" fontId="0" fillId="0" borderId="1" xfId="0" applyBorder="1"/>
    <xf numFmtId="164" fontId="0" fillId="5" borderId="0" xfId="0" applyNumberFormat="1" applyFill="1"/>
    <xf numFmtId="0" fontId="5" fillId="0" borderId="0" xfId="0" applyFont="1"/>
    <xf numFmtId="0" fontId="5" fillId="2" borderId="0" xfId="0" applyFont="1" applyFill="1"/>
    <xf numFmtId="0" fontId="0" fillId="10" borderId="0" xfId="0" applyFill="1"/>
    <xf numFmtId="0" fontId="2" fillId="10" borderId="0" xfId="0" applyFont="1" applyFill="1"/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0" fontId="2" fillId="8" borderId="0" xfId="0" applyFont="1" applyFill="1"/>
    <xf numFmtId="0" fontId="5" fillId="3" borderId="0" xfId="0" applyFont="1" applyFill="1"/>
    <xf numFmtId="0" fontId="8" fillId="8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3" fillId="13" borderId="0" xfId="0" applyFont="1" applyFill="1" applyAlignment="1">
      <alignment horizontal="center" vertical="center"/>
    </xf>
    <xf numFmtId="0" fontId="10" fillId="14" borderId="0" xfId="0" applyFont="1" applyFill="1" applyAlignment="1">
      <alignment vertical="center" wrapText="1"/>
    </xf>
    <xf numFmtId="0" fontId="17" fillId="18" borderId="0" xfId="0" applyFont="1" applyFill="1" applyAlignment="1">
      <alignment vertical="center"/>
    </xf>
    <xf numFmtId="0" fontId="10" fillId="20" borderId="0" xfId="0" applyFont="1" applyFill="1" applyAlignment="1">
      <alignment vertical="center" wrapText="1"/>
    </xf>
    <xf numFmtId="0" fontId="19" fillId="12" borderId="0" xfId="0" applyFont="1" applyFill="1" applyAlignment="1">
      <alignment horizontal="center" vertical="center" wrapText="1"/>
    </xf>
    <xf numFmtId="0" fontId="11" fillId="11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15" fillId="16" borderId="0" xfId="0" applyFont="1" applyFill="1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0" fillId="19" borderId="0" xfId="0" applyFont="1" applyFill="1" applyAlignment="1">
      <alignment vertical="center"/>
    </xf>
    <xf numFmtId="0" fontId="18" fillId="17" borderId="0" xfId="0" applyFont="1" applyFill="1" applyAlignment="1">
      <alignment vertical="center"/>
    </xf>
    <xf numFmtId="0" fontId="10" fillId="20" borderId="0" xfId="0" applyFont="1" applyFill="1" applyAlignment="1">
      <alignment vertical="center" wrapText="1"/>
    </xf>
    <xf numFmtId="0" fontId="10" fillId="21" borderId="0" xfId="0" applyFont="1" applyFill="1" applyAlignment="1">
      <alignment vertical="center"/>
    </xf>
    <xf numFmtId="166" fontId="10" fillId="19" borderId="0" xfId="0" applyNumberFormat="1" applyFont="1" applyFill="1" applyAlignment="1">
      <alignment vertical="center"/>
    </xf>
    <xf numFmtId="164" fontId="0" fillId="4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20" fillId="4" borderId="0" xfId="0" applyNumberFormat="1" applyFont="1" applyFill="1" applyAlignment="1">
      <alignment horizontal="center"/>
    </xf>
    <xf numFmtId="164" fontId="20" fillId="3" borderId="0" xfId="0" applyNumberFormat="1" applyFont="1" applyFill="1" applyAlignment="1">
      <alignment horizontal="center"/>
    </xf>
    <xf numFmtId="164" fontId="20" fillId="5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Data!$B$2:$B$12</c:f>
              <c:numCache>
                <c:formatCode>General</c:formatCode>
                <c:ptCount val="11"/>
                <c:pt idx="0">
                  <c:v>1495624.53</c:v>
                </c:pt>
                <c:pt idx="1">
                  <c:v>1495620.49</c:v>
                </c:pt>
                <c:pt idx="2">
                  <c:v>1495616.45</c:v>
                </c:pt>
                <c:pt idx="3">
                  <c:v>1495612.41</c:v>
                </c:pt>
                <c:pt idx="4">
                  <c:v>1495608.37</c:v>
                </c:pt>
                <c:pt idx="5">
                  <c:v>1495604.33</c:v>
                </c:pt>
                <c:pt idx="6">
                  <c:v>1495600.29</c:v>
                </c:pt>
                <c:pt idx="7">
                  <c:v>1495596.25</c:v>
                </c:pt>
                <c:pt idx="8">
                  <c:v>1495592.21</c:v>
                </c:pt>
                <c:pt idx="9">
                  <c:v>1495588.17</c:v>
                </c:pt>
                <c:pt idx="10">
                  <c:v>1495584.13</c:v>
                </c:pt>
              </c:numCache>
            </c:numRef>
          </c:xVal>
          <c:yVal>
            <c:numRef>
              <c:f>Data!$C$2:$C$12</c:f>
              <c:numCache>
                <c:formatCode>General</c:formatCode>
                <c:ptCount val="11"/>
                <c:pt idx="0">
                  <c:v>9782855.5099999998</c:v>
                </c:pt>
                <c:pt idx="1">
                  <c:v>9782846.3599999994</c:v>
                </c:pt>
                <c:pt idx="2">
                  <c:v>9782837.2100000009</c:v>
                </c:pt>
                <c:pt idx="3">
                  <c:v>9782828.0600000005</c:v>
                </c:pt>
                <c:pt idx="4">
                  <c:v>9782818.9199999999</c:v>
                </c:pt>
                <c:pt idx="5">
                  <c:v>9782809.7699999996</c:v>
                </c:pt>
                <c:pt idx="6">
                  <c:v>9782800.6199999992</c:v>
                </c:pt>
                <c:pt idx="7">
                  <c:v>9782791.4800000004</c:v>
                </c:pt>
                <c:pt idx="8">
                  <c:v>9782782.3300000001</c:v>
                </c:pt>
                <c:pt idx="9">
                  <c:v>9782773.1799999997</c:v>
                </c:pt>
                <c:pt idx="10">
                  <c:v>9782764.0299999993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8D-42F1-9532-F4FAEE8593A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Data!$B$13:$B$23</c:f>
              <c:numCache>
                <c:formatCode>General</c:formatCode>
                <c:ptCount val="11"/>
                <c:pt idx="0">
                  <c:v>1495627.28</c:v>
                </c:pt>
                <c:pt idx="1">
                  <c:v>1495623.24</c:v>
                </c:pt>
                <c:pt idx="2">
                  <c:v>1495619.2</c:v>
                </c:pt>
                <c:pt idx="3">
                  <c:v>1495615.16</c:v>
                </c:pt>
                <c:pt idx="4">
                  <c:v>1495611.12</c:v>
                </c:pt>
                <c:pt idx="5">
                  <c:v>1495607.07</c:v>
                </c:pt>
                <c:pt idx="6">
                  <c:v>1495603.03</c:v>
                </c:pt>
                <c:pt idx="7">
                  <c:v>1495598.99</c:v>
                </c:pt>
                <c:pt idx="8">
                  <c:v>1495594.95</c:v>
                </c:pt>
                <c:pt idx="9">
                  <c:v>1495590.91</c:v>
                </c:pt>
                <c:pt idx="10">
                  <c:v>1495586.87</c:v>
                </c:pt>
              </c:numCache>
            </c:numRef>
          </c:xVal>
          <c:yVal>
            <c:numRef>
              <c:f>Data!$C$13:$C$23</c:f>
              <c:numCache>
                <c:formatCode>General</c:formatCode>
                <c:ptCount val="11"/>
                <c:pt idx="0">
                  <c:v>9782854.2899999991</c:v>
                </c:pt>
                <c:pt idx="1">
                  <c:v>9782845.1500000004</c:v>
                </c:pt>
                <c:pt idx="2">
                  <c:v>9782836</c:v>
                </c:pt>
                <c:pt idx="3">
                  <c:v>9782826.8499999996</c:v>
                </c:pt>
                <c:pt idx="4">
                  <c:v>9782817.6999999993</c:v>
                </c:pt>
                <c:pt idx="5">
                  <c:v>9782808.5600000005</c:v>
                </c:pt>
                <c:pt idx="6">
                  <c:v>9782799.4100000001</c:v>
                </c:pt>
                <c:pt idx="7">
                  <c:v>9782790.2599999998</c:v>
                </c:pt>
                <c:pt idx="8">
                  <c:v>9782781.1199999992</c:v>
                </c:pt>
                <c:pt idx="9">
                  <c:v>9782771.9700000007</c:v>
                </c:pt>
                <c:pt idx="10">
                  <c:v>9782762.8200000003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4-49ED-96BB-0DF98756D22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Data!$B$24:$B$34</c:f>
              <c:numCache>
                <c:formatCode>General</c:formatCode>
                <c:ptCount val="11"/>
                <c:pt idx="0">
                  <c:v>1495630.02</c:v>
                </c:pt>
                <c:pt idx="1">
                  <c:v>1495625.98</c:v>
                </c:pt>
                <c:pt idx="2">
                  <c:v>1495621.94</c:v>
                </c:pt>
                <c:pt idx="3">
                  <c:v>1495617.9</c:v>
                </c:pt>
                <c:pt idx="4">
                  <c:v>1495613.86</c:v>
                </c:pt>
                <c:pt idx="5">
                  <c:v>1495609.82</c:v>
                </c:pt>
                <c:pt idx="6">
                  <c:v>1495605.78</c:v>
                </c:pt>
                <c:pt idx="7">
                  <c:v>1495601.74</c:v>
                </c:pt>
                <c:pt idx="8">
                  <c:v>1495597.7</c:v>
                </c:pt>
                <c:pt idx="9">
                  <c:v>1495593.65</c:v>
                </c:pt>
                <c:pt idx="10">
                  <c:v>1495589.61</c:v>
                </c:pt>
              </c:numCache>
            </c:numRef>
          </c:xVal>
          <c:yVal>
            <c:numRef>
              <c:f>Data!$C$24:$C$34</c:f>
              <c:numCache>
                <c:formatCode>General</c:formatCode>
                <c:ptCount val="11"/>
                <c:pt idx="0">
                  <c:v>9782853.0800000001</c:v>
                </c:pt>
                <c:pt idx="1">
                  <c:v>9782843.9299999997</c:v>
                </c:pt>
                <c:pt idx="2">
                  <c:v>9782834.7899999991</c:v>
                </c:pt>
                <c:pt idx="3">
                  <c:v>9782825.6400000006</c:v>
                </c:pt>
                <c:pt idx="4">
                  <c:v>9782816.4900000002</c:v>
                </c:pt>
                <c:pt idx="5">
                  <c:v>9782807.3499999996</c:v>
                </c:pt>
                <c:pt idx="6">
                  <c:v>9782798.1999999993</c:v>
                </c:pt>
                <c:pt idx="7">
                  <c:v>9782789.0500000007</c:v>
                </c:pt>
                <c:pt idx="8">
                  <c:v>9782779.9000000004</c:v>
                </c:pt>
                <c:pt idx="9">
                  <c:v>9782770.7599999998</c:v>
                </c:pt>
                <c:pt idx="10">
                  <c:v>9782761.6099999994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916-A95F-A25CAF711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1920583"/>
        <c:axId val="1581920943"/>
      </c:scatterChart>
      <c:valAx>
        <c:axId val="1581920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920943"/>
        <c:crosses val="autoZero"/>
        <c:crossBetween val="midCat"/>
      </c:valAx>
      <c:valAx>
        <c:axId val="158192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920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Seabed</a:t>
            </a:r>
            <a:r>
              <a:rPr lang="en-US" baseline="0"/>
              <a:t>_Start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Seabed_3ft!$D$2</c:f>
              <c:strCache>
                <c:ptCount val="1"/>
                <c:pt idx="0">
                  <c:v>offset_1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Seabed_3ft!$D$4:$D$7</c:f>
              <c:numCache>
                <c:formatCode>0.000</c:formatCode>
                <c:ptCount val="4"/>
                <c:pt idx="0">
                  <c:v>1495533.121451966</c:v>
                </c:pt>
                <c:pt idx="1">
                  <c:v>1495624.53</c:v>
                </c:pt>
                <c:pt idx="2">
                  <c:v>1495627.28</c:v>
                </c:pt>
                <c:pt idx="3">
                  <c:v>1495630.02</c:v>
                </c:pt>
              </c:numCache>
            </c:numRef>
          </c:xVal>
          <c:yVal>
            <c:numRef>
              <c:f>Seabed_3ft!$E$4:$E$7</c:f>
              <c:numCache>
                <c:formatCode>0.000</c:formatCode>
                <c:ptCount val="4"/>
                <c:pt idx="0">
                  <c:v>9782896.0621558763</c:v>
                </c:pt>
                <c:pt idx="1">
                  <c:v>9782855.5099999998</c:v>
                </c:pt>
                <c:pt idx="2">
                  <c:v>9782854.2899999991</c:v>
                </c:pt>
                <c:pt idx="3">
                  <c:v>9782853.0800000001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8-498F-8376-FDBA132D8815}"/>
            </c:ext>
          </c:extLst>
        </c:ser>
        <c:ser>
          <c:idx val="1"/>
          <c:order val="1"/>
          <c:tx>
            <c:strRef>
              <c:f>Seabed_3ft!$H$2</c:f>
              <c:strCache>
                <c:ptCount val="1"/>
                <c:pt idx="0">
                  <c:v>offset_2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Seabed_3ft!$H$4:$H$7</c:f>
              <c:numCache>
                <c:formatCode>0.000</c:formatCode>
                <c:ptCount val="4"/>
                <c:pt idx="0">
                  <c:v>1495528.9584967459</c:v>
                </c:pt>
                <c:pt idx="1">
                  <c:v>1495620.49</c:v>
                </c:pt>
                <c:pt idx="2">
                  <c:v>1495623.24</c:v>
                </c:pt>
                <c:pt idx="3">
                  <c:v>1495625.98</c:v>
                </c:pt>
              </c:numCache>
            </c:numRef>
          </c:xVal>
          <c:yVal>
            <c:numRef>
              <c:f>Seabed_3ft!$I$4:$I$7</c:f>
              <c:numCache>
                <c:formatCode>0.000</c:formatCode>
                <c:ptCount val="4"/>
                <c:pt idx="0">
                  <c:v>9782886.6338613983</c:v>
                </c:pt>
                <c:pt idx="1">
                  <c:v>9782846.3599999994</c:v>
                </c:pt>
                <c:pt idx="2">
                  <c:v>9782845.1500000004</c:v>
                </c:pt>
                <c:pt idx="3">
                  <c:v>9782843.9299999997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18-498F-8376-FDBA132D8815}"/>
            </c:ext>
          </c:extLst>
        </c:ser>
        <c:ser>
          <c:idx val="2"/>
          <c:order val="2"/>
          <c:tx>
            <c:strRef>
              <c:f>Seabed_3ft!$L$2</c:f>
              <c:strCache>
                <c:ptCount val="1"/>
                <c:pt idx="0">
                  <c:v>offset_3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Seabed_3ft!$L$4:$L$7</c:f>
              <c:numCache>
                <c:formatCode>0.000</c:formatCode>
                <c:ptCount val="4"/>
                <c:pt idx="0">
                  <c:v>1495524.9184967687</c:v>
                </c:pt>
                <c:pt idx="1">
                  <c:v>1495616.45</c:v>
                </c:pt>
                <c:pt idx="2">
                  <c:v>1495619.2</c:v>
                </c:pt>
                <c:pt idx="3">
                  <c:v>1495621.94</c:v>
                </c:pt>
              </c:numCache>
            </c:numRef>
          </c:xVal>
          <c:yVal>
            <c:numRef>
              <c:f>Seabed_3ft!$M$4:$M$7</c:f>
              <c:numCache>
                <c:formatCode>0.000</c:formatCode>
                <c:ptCount val="4"/>
                <c:pt idx="0">
                  <c:v>9782877.483861452</c:v>
                </c:pt>
                <c:pt idx="1">
                  <c:v>9782837.2100000009</c:v>
                </c:pt>
                <c:pt idx="2">
                  <c:v>9782836</c:v>
                </c:pt>
                <c:pt idx="3">
                  <c:v>9782834.7899999991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18-498F-8376-FDBA132D8815}"/>
            </c:ext>
          </c:extLst>
        </c:ser>
        <c:ser>
          <c:idx val="3"/>
          <c:order val="3"/>
          <c:tx>
            <c:strRef>
              <c:f>Seabed_3ft!$P$2</c:f>
              <c:strCache>
                <c:ptCount val="1"/>
                <c:pt idx="0">
                  <c:v>offset_4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Seabed_3ft!$P$4:$P$7</c:f>
              <c:numCache>
                <c:formatCode>0.000</c:formatCode>
                <c:ptCount val="4"/>
                <c:pt idx="0">
                  <c:v>1495520.8784967687</c:v>
                </c:pt>
                <c:pt idx="1">
                  <c:v>1495612.41</c:v>
                </c:pt>
                <c:pt idx="2">
                  <c:v>1495615.16</c:v>
                </c:pt>
                <c:pt idx="3">
                  <c:v>1495617.9</c:v>
                </c:pt>
              </c:numCache>
            </c:numRef>
          </c:xVal>
          <c:yVal>
            <c:numRef>
              <c:f>Seabed_3ft!$Q$4:$Q$7</c:f>
              <c:numCache>
                <c:formatCode>0.000</c:formatCode>
                <c:ptCount val="4"/>
                <c:pt idx="0">
                  <c:v>9782868.3338614516</c:v>
                </c:pt>
                <c:pt idx="1">
                  <c:v>9782828.0600000005</c:v>
                </c:pt>
                <c:pt idx="2">
                  <c:v>9782826.8499999996</c:v>
                </c:pt>
                <c:pt idx="3">
                  <c:v>9782825.6400000006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18-498F-8376-FDBA132D8815}"/>
            </c:ext>
          </c:extLst>
        </c:ser>
        <c:ser>
          <c:idx val="4"/>
          <c:order val="4"/>
          <c:tx>
            <c:strRef>
              <c:f>Seabed_3ft!$T$2</c:f>
              <c:strCache>
                <c:ptCount val="1"/>
                <c:pt idx="0">
                  <c:v>offset_5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Seabed_3ft!$T$4:$T$7</c:f>
              <c:numCache>
                <c:formatCode>0.000</c:formatCode>
                <c:ptCount val="4"/>
                <c:pt idx="0">
                  <c:v>1495516.9614519661</c:v>
                </c:pt>
                <c:pt idx="1">
                  <c:v>1495608.37</c:v>
                </c:pt>
                <c:pt idx="2">
                  <c:v>1495611.12</c:v>
                </c:pt>
                <c:pt idx="3">
                  <c:v>1495613.86</c:v>
                </c:pt>
              </c:numCache>
            </c:numRef>
          </c:xVal>
          <c:yVal>
            <c:numRef>
              <c:f>Seabed_3ft!$U$4:$U$7</c:f>
              <c:numCache>
                <c:formatCode>0.000</c:formatCode>
                <c:ptCount val="4"/>
                <c:pt idx="0">
                  <c:v>9782859.4721558765</c:v>
                </c:pt>
                <c:pt idx="1">
                  <c:v>9782818.9199999999</c:v>
                </c:pt>
                <c:pt idx="2">
                  <c:v>9782817.6999999993</c:v>
                </c:pt>
                <c:pt idx="3">
                  <c:v>9782816.4900000002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18-498F-8376-FDBA132D8815}"/>
            </c:ext>
          </c:extLst>
        </c:ser>
        <c:ser>
          <c:idx val="5"/>
          <c:order val="5"/>
          <c:tx>
            <c:strRef>
              <c:f>Seabed_3ft!$X$2</c:f>
              <c:strCache>
                <c:ptCount val="1"/>
                <c:pt idx="0">
                  <c:v>offset_6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Seabed_3ft!$X$4:$X$7</c:f>
              <c:numCache>
                <c:formatCode>0.000</c:formatCode>
                <c:ptCount val="4"/>
                <c:pt idx="0">
                  <c:v>1495512.8527308209</c:v>
                </c:pt>
                <c:pt idx="1">
                  <c:v>1495604.33</c:v>
                </c:pt>
                <c:pt idx="2">
                  <c:v>1495607.07</c:v>
                </c:pt>
                <c:pt idx="3">
                  <c:v>1495609.82</c:v>
                </c:pt>
              </c:numCache>
            </c:numRef>
          </c:xVal>
          <c:yVal>
            <c:numRef>
              <c:f>Seabed_3ft!$Y$4:$Y$7</c:f>
              <c:numCache>
                <c:formatCode>0.000</c:formatCode>
                <c:ptCount val="4"/>
                <c:pt idx="0">
                  <c:v>9782850.166896211</c:v>
                </c:pt>
                <c:pt idx="1">
                  <c:v>9782809.7699999996</c:v>
                </c:pt>
                <c:pt idx="2">
                  <c:v>9782808.5600000005</c:v>
                </c:pt>
                <c:pt idx="3">
                  <c:v>9782807.3499999996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18-498F-8376-FDBA132D8815}"/>
            </c:ext>
          </c:extLst>
        </c:ser>
        <c:ser>
          <c:idx val="6"/>
          <c:order val="6"/>
          <c:tx>
            <c:strRef>
              <c:f>Seabed_3ft!$AB$2</c:f>
              <c:strCache>
                <c:ptCount val="1"/>
                <c:pt idx="0">
                  <c:v>offset_7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Seabed_3ft!$AB$4:$AB$7</c:f>
              <c:numCache>
                <c:formatCode>0.000</c:formatCode>
                <c:ptCount val="4"/>
                <c:pt idx="0">
                  <c:v>1495508.8127308208</c:v>
                </c:pt>
                <c:pt idx="1">
                  <c:v>1495600.29</c:v>
                </c:pt>
                <c:pt idx="2">
                  <c:v>1495603.03</c:v>
                </c:pt>
                <c:pt idx="3">
                  <c:v>1495605.78</c:v>
                </c:pt>
              </c:numCache>
            </c:numRef>
          </c:xVal>
          <c:yVal>
            <c:numRef>
              <c:f>Seabed_3ft!$AC$4:$AC$7</c:f>
              <c:numCache>
                <c:formatCode>0.000</c:formatCode>
                <c:ptCount val="4"/>
                <c:pt idx="0">
                  <c:v>9782841.0168962106</c:v>
                </c:pt>
                <c:pt idx="1">
                  <c:v>9782800.6199999992</c:v>
                </c:pt>
                <c:pt idx="2">
                  <c:v>9782799.4100000001</c:v>
                </c:pt>
                <c:pt idx="3">
                  <c:v>9782798.1999999993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218-498F-8376-FDBA132D8815}"/>
            </c:ext>
          </c:extLst>
        </c:ser>
        <c:ser>
          <c:idx val="7"/>
          <c:order val="7"/>
          <c:tx>
            <c:strRef>
              <c:f>Seabed_3ft!$AF$2</c:f>
              <c:strCache>
                <c:ptCount val="1"/>
                <c:pt idx="0">
                  <c:v>offset_8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Seabed_3ft!$AF$4:$AF$7</c:f>
              <c:numCache>
                <c:formatCode>0.000</c:formatCode>
                <c:ptCount val="4"/>
                <c:pt idx="0">
                  <c:v>1495504.8963636109</c:v>
                </c:pt>
                <c:pt idx="1">
                  <c:v>1495596.25</c:v>
                </c:pt>
                <c:pt idx="2">
                  <c:v>1495598.99</c:v>
                </c:pt>
                <c:pt idx="3">
                  <c:v>1495601.74</c:v>
                </c:pt>
              </c:numCache>
            </c:numRef>
          </c:xVal>
          <c:yVal>
            <c:numRef>
              <c:f>Seabed_3ft!$AG$4:$AG$7</c:f>
              <c:numCache>
                <c:formatCode>0.000</c:formatCode>
                <c:ptCount val="4"/>
                <c:pt idx="0">
                  <c:v>9782832.1557067372</c:v>
                </c:pt>
                <c:pt idx="1">
                  <c:v>9782791.4800000004</c:v>
                </c:pt>
                <c:pt idx="2">
                  <c:v>9782790.2599999998</c:v>
                </c:pt>
                <c:pt idx="3">
                  <c:v>9782789.0500000007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218-498F-8376-FDBA132D8815}"/>
            </c:ext>
          </c:extLst>
        </c:ser>
        <c:ser>
          <c:idx val="8"/>
          <c:order val="8"/>
          <c:tx>
            <c:strRef>
              <c:f>Seabed_3ft!$AJ$2</c:f>
              <c:strCache>
                <c:ptCount val="1"/>
                <c:pt idx="0">
                  <c:v>offset_9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Seabed_3ft!$AJ$4:$AJ$7</c:f>
              <c:numCache>
                <c:formatCode>0.000</c:formatCode>
                <c:ptCount val="4"/>
                <c:pt idx="0">
                  <c:v>1495500.7327308436</c:v>
                </c:pt>
                <c:pt idx="1">
                  <c:v>1495592.21</c:v>
                </c:pt>
                <c:pt idx="2">
                  <c:v>1495594.95</c:v>
                </c:pt>
                <c:pt idx="3">
                  <c:v>1495597.7</c:v>
                </c:pt>
              </c:numCache>
            </c:numRef>
          </c:xVal>
          <c:yVal>
            <c:numRef>
              <c:f>Seabed_3ft!$AK$4:$AK$7</c:f>
              <c:numCache>
                <c:formatCode>0.000</c:formatCode>
                <c:ptCount val="4"/>
                <c:pt idx="0">
                  <c:v>9782822.7268962637</c:v>
                </c:pt>
                <c:pt idx="1">
                  <c:v>9782782.3300000001</c:v>
                </c:pt>
                <c:pt idx="2">
                  <c:v>9782781.1199999992</c:v>
                </c:pt>
                <c:pt idx="3">
                  <c:v>9782779.9000000004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218-498F-8376-FDBA132D8815}"/>
            </c:ext>
          </c:extLst>
        </c:ser>
        <c:ser>
          <c:idx val="9"/>
          <c:order val="9"/>
          <c:tx>
            <c:strRef>
              <c:f>Seabed_3ft!$AN$2</c:f>
              <c:strCache>
                <c:ptCount val="1"/>
                <c:pt idx="0">
                  <c:v>offset_10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Seabed_3ft!$AN$4:$AN$7</c:f>
              <c:numCache>
                <c:formatCode>0.000</c:formatCode>
                <c:ptCount val="4"/>
                <c:pt idx="0">
                  <c:v>1495496.6927308207</c:v>
                </c:pt>
                <c:pt idx="1">
                  <c:v>1495588.17</c:v>
                </c:pt>
                <c:pt idx="2">
                  <c:v>1495590.91</c:v>
                </c:pt>
                <c:pt idx="3">
                  <c:v>1495593.65</c:v>
                </c:pt>
              </c:numCache>
            </c:numRef>
          </c:xVal>
          <c:yVal>
            <c:numRef>
              <c:f>Seabed_3ft!$AO$4:$AO$7</c:f>
              <c:numCache>
                <c:formatCode>0.000</c:formatCode>
                <c:ptCount val="4"/>
                <c:pt idx="0">
                  <c:v>9782813.5768962111</c:v>
                </c:pt>
                <c:pt idx="1">
                  <c:v>9782773.1799999997</c:v>
                </c:pt>
                <c:pt idx="2">
                  <c:v>9782771.9700000007</c:v>
                </c:pt>
                <c:pt idx="3">
                  <c:v>9782770.7599999998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218-498F-8376-FDBA132D8815}"/>
            </c:ext>
          </c:extLst>
        </c:ser>
        <c:ser>
          <c:idx val="10"/>
          <c:order val="10"/>
          <c:tx>
            <c:strRef>
              <c:f>Seabed_3ft!$AR$2</c:f>
              <c:strCache>
                <c:ptCount val="1"/>
                <c:pt idx="0">
                  <c:v>offset_11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Seabed_3ft!$AR$4:$AR$7</c:f>
              <c:numCache>
                <c:formatCode>0.000</c:formatCode>
                <c:ptCount val="4"/>
                <c:pt idx="0">
                  <c:v>1495492.6527308193</c:v>
                </c:pt>
                <c:pt idx="1">
                  <c:v>1495584.13</c:v>
                </c:pt>
                <c:pt idx="2">
                  <c:v>1495586.87</c:v>
                </c:pt>
                <c:pt idx="3">
                  <c:v>1495589.61</c:v>
                </c:pt>
              </c:numCache>
            </c:numRef>
          </c:xVal>
          <c:yVal>
            <c:numRef>
              <c:f>Seabed_3ft!$AS$4:$AS$7</c:f>
              <c:numCache>
                <c:formatCode>0.000</c:formatCode>
                <c:ptCount val="4"/>
                <c:pt idx="0">
                  <c:v>9782804.426896207</c:v>
                </c:pt>
                <c:pt idx="1">
                  <c:v>9782764.0299999993</c:v>
                </c:pt>
                <c:pt idx="2">
                  <c:v>9782762.8200000003</c:v>
                </c:pt>
                <c:pt idx="3">
                  <c:v>9782761.6099999994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218-498F-8376-FDBA132D8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8338104"/>
        <c:axId val="878341704"/>
        <c:extLst>
          <c:ext xmlns:c15="http://schemas.microsoft.com/office/drawing/2012/chart" uri="{02D57815-91ED-43cb-92C2-25804820EDAC}">
            <c15:filteredScatterSeries>
              <c15:ser>
                <c:idx val="34"/>
                <c:order val="11"/>
                <c:tx>
                  <c:v>PipelineRoute</c:v>
                </c:tx>
                <c:spPr>
                  <a:ln w="19050" cap="rnd">
                    <a:solidFill>
                      <a:srgbClr val="FF0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22-1218-498F-8376-FDBA132D8815}"/>
                  </c:ext>
                </c:extLst>
              </c15:ser>
            </c15:filteredScatterSeries>
          </c:ext>
        </c:extLst>
      </c:scatterChart>
      <c:valAx>
        <c:axId val="878338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341704"/>
        <c:crosses val="autoZero"/>
        <c:crossBetween val="midCat"/>
      </c:valAx>
      <c:valAx>
        <c:axId val="87834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338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940898501606829"/>
          <c:y val="5.4398988397851268E-2"/>
          <c:w val="0.41719069039987711"/>
          <c:h val="0.845463997920457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Seabed_m_offset!$D$1</c:f>
              <c:strCache>
                <c:ptCount val="1"/>
                <c:pt idx="0">
                  <c:v>offset_1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Seabed_m_offset!$D$3:$D$2653</c:f>
              <c:numCache>
                <c:formatCode>0.000</c:formatCode>
                <c:ptCount val="2651"/>
                <c:pt idx="0">
                  <c:v>-21.704365440818947</c:v>
                </c:pt>
                <c:pt idx="1">
                  <c:v>6.1569599999929778</c:v>
                </c:pt>
                <c:pt idx="2">
                  <c:v>6.9951599999913014</c:v>
                </c:pt>
                <c:pt idx="3">
                  <c:v>7.8303119999472983</c:v>
                </c:pt>
                <c:pt idx="4">
                  <c:v>35.712583645770792</c:v>
                </c:pt>
              </c:numCache>
            </c:numRef>
          </c:xVal>
          <c:yVal>
            <c:numRef>
              <c:f>Seabed_m_offset!$E$3:$E$2653</c:f>
              <c:numCache>
                <c:formatCode>0.000</c:formatCode>
                <c:ptCount val="2651"/>
                <c:pt idx="0">
                  <c:v>26.301849110983312</c:v>
                </c:pt>
                <c:pt idx="1">
                  <c:v>13.941551999654621</c:v>
                </c:pt>
                <c:pt idx="2">
                  <c:v>13.569695999845862</c:v>
                </c:pt>
                <c:pt idx="3">
                  <c:v>13.200887999963015</c:v>
                </c:pt>
                <c:pt idx="4">
                  <c:v>0.88791403453797102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A-4665-BA99-0C93655AEDAA}"/>
            </c:ext>
          </c:extLst>
        </c:ser>
        <c:ser>
          <c:idx val="1"/>
          <c:order val="1"/>
          <c:tx>
            <c:strRef>
              <c:f>Seabed_m_offset!$H$1</c:f>
              <c:strCache>
                <c:ptCount val="1"/>
                <c:pt idx="0">
                  <c:v>offset_2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Seabed_m_offset!$H$3:$H$2653</c:f>
              <c:numCache>
                <c:formatCode>0.000</c:formatCode>
                <c:ptCount val="2651"/>
                <c:pt idx="0">
                  <c:v>-22.973234191886149</c:v>
                </c:pt>
                <c:pt idx="1">
                  <c:v>4.9255679999478161</c:v>
                </c:pt>
                <c:pt idx="2">
                  <c:v>5.7637679999461398</c:v>
                </c:pt>
                <c:pt idx="3">
                  <c:v>6.5989199999603443</c:v>
                </c:pt>
                <c:pt idx="4">
                  <c:v>34.443508371361531</c:v>
                </c:pt>
              </c:numCache>
            </c:numRef>
          </c:xVal>
          <c:yVal>
            <c:numRef>
              <c:f>Seabed_m_offset!$I$3:$I$2653</c:f>
              <c:numCache>
                <c:formatCode>0.000</c:formatCode>
                <c:ptCount val="2651"/>
                <c:pt idx="0">
                  <c:v>23.428104954306036</c:v>
                </c:pt>
                <c:pt idx="1">
                  <c:v>11.152631999924779</c:v>
                </c:pt>
                <c:pt idx="2">
                  <c:v>10.783824000041932</c:v>
                </c:pt>
                <c:pt idx="3">
                  <c:v>10.411967999767512</c:v>
                </c:pt>
                <c:pt idx="4">
                  <c:v>-1.985987413674593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6A-4665-BA99-0C93655AEDAA}"/>
            </c:ext>
          </c:extLst>
        </c:ser>
        <c:ser>
          <c:idx val="2"/>
          <c:order val="2"/>
          <c:tx>
            <c:strRef>
              <c:f>Seabed_m_offset!$L$1</c:f>
              <c:strCache>
                <c:ptCount val="1"/>
                <c:pt idx="0">
                  <c:v>offset_3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Seabed_m_offset!$L$3:$L$2653</c:f>
              <c:numCache>
                <c:formatCode>0.000</c:formatCode>
                <c:ptCount val="2651"/>
                <c:pt idx="0">
                  <c:v>-24.204626184946392</c:v>
                </c:pt>
                <c:pt idx="1">
                  <c:v>3.6941759999608621</c:v>
                </c:pt>
                <c:pt idx="2">
                  <c:v>4.5323759999591857</c:v>
                </c:pt>
                <c:pt idx="3">
                  <c:v>5.3675279999733903</c:v>
                </c:pt>
                <c:pt idx="4">
                  <c:v>33.249799638811965</c:v>
                </c:pt>
              </c:numCache>
            </c:numRef>
          </c:xVal>
          <c:yVal>
            <c:numRef>
              <c:f>Seabed_m_offset!$M$3:$M$2653</c:f>
              <c:numCache>
                <c:formatCode>0.000</c:formatCode>
                <c:ptCount val="2651"/>
                <c:pt idx="0">
                  <c:v>20.639184970408678</c:v>
                </c:pt>
                <c:pt idx="1">
                  <c:v>8.363712000194937</c:v>
                </c:pt>
                <c:pt idx="2">
                  <c:v>7.9949039998464286</c:v>
                </c:pt>
                <c:pt idx="3">
                  <c:v>7.6260959994979203</c:v>
                </c:pt>
                <c:pt idx="4">
                  <c:v>-4.6868779812939465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6A-4665-BA99-0C93655AEDAA}"/>
            </c:ext>
          </c:extLst>
        </c:ser>
        <c:ser>
          <c:idx val="3"/>
          <c:order val="3"/>
          <c:tx>
            <c:strRef>
              <c:f>Seabed_m_offset!$P$1</c:f>
              <c:strCache>
                <c:ptCount val="1"/>
                <c:pt idx="0">
                  <c:v>offset_4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Seabed_m_offset!$P$3:$P$2653</c:f>
              <c:numCache>
                <c:formatCode>0.000</c:formatCode>
                <c:ptCount val="2651"/>
                <c:pt idx="0">
                  <c:v>-25.436018184933346</c:v>
                </c:pt>
                <c:pt idx="1">
                  <c:v>2.4627839999157004</c:v>
                </c:pt>
                <c:pt idx="2">
                  <c:v>3.300983999914024</c:v>
                </c:pt>
                <c:pt idx="3">
                  <c:v>4.1361359999282286</c:v>
                </c:pt>
                <c:pt idx="4">
                  <c:v>32.018407645751722</c:v>
                </c:pt>
              </c:numCache>
            </c:numRef>
          </c:xVal>
          <c:yVal>
            <c:numRef>
              <c:f>Seabed_m_offset!$Q$3:$Q$2653</c:f>
              <c:numCache>
                <c:formatCode>0.000</c:formatCode>
                <c:ptCount val="2651"/>
                <c:pt idx="0">
                  <c:v>17.850264970213175</c:v>
                </c:pt>
                <c:pt idx="1">
                  <c:v>5.5747919999994338</c:v>
                </c:pt>
                <c:pt idx="2">
                  <c:v>5.2059839996509254</c:v>
                </c:pt>
                <c:pt idx="3">
                  <c:v>4.8371760002337396</c:v>
                </c:pt>
                <c:pt idx="4">
                  <c:v>-7.4757979651913047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6A-4665-BA99-0C93655AEDAA}"/>
            </c:ext>
          </c:extLst>
        </c:ser>
        <c:ser>
          <c:idx val="4"/>
          <c:order val="4"/>
          <c:tx>
            <c:strRef>
              <c:f>Seabed_m_offset!$T$1</c:f>
              <c:strCache>
                <c:ptCount val="1"/>
                <c:pt idx="0">
                  <c:v>offset_5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Seabed_m_offset!$T$3:$T$2653</c:f>
              <c:numCache>
                <c:formatCode>0.000</c:formatCode>
                <c:ptCount val="2651"/>
                <c:pt idx="0">
                  <c:v>-26.629933440766763</c:v>
                </c:pt>
                <c:pt idx="1">
                  <c:v>1.231391999986954</c:v>
                </c:pt>
                <c:pt idx="2">
                  <c:v>2.0695919999852777</c:v>
                </c:pt>
                <c:pt idx="3">
                  <c:v>2.9047439999994822</c:v>
                </c:pt>
                <c:pt idx="4">
                  <c:v>30.787015645822976</c:v>
                </c:pt>
              </c:numCache>
            </c:numRef>
          </c:xVal>
          <c:yVal>
            <c:numRef>
              <c:f>Seabed_m_offset!$U$3:$U$2653</c:f>
              <c:numCache>
                <c:formatCode>0.000</c:formatCode>
                <c:ptCount val="2651"/>
                <c:pt idx="0">
                  <c:v>15.149217111058533</c:v>
                </c:pt>
                <c:pt idx="1">
                  <c:v>2.7889199997298419</c:v>
                </c:pt>
                <c:pt idx="2">
                  <c:v>2.4170639999210835</c:v>
                </c:pt>
                <c:pt idx="3">
                  <c:v>2.0482560000382364</c:v>
                </c:pt>
                <c:pt idx="4">
                  <c:v>-10.264717965386808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6A-4665-BA99-0C93655AEDAA}"/>
            </c:ext>
          </c:extLst>
        </c:ser>
        <c:ser>
          <c:idx val="5"/>
          <c:order val="5"/>
          <c:tx>
            <c:strRef>
              <c:f>Seabed_m_offset!$X$1</c:f>
              <c:strCache>
                <c:ptCount val="1"/>
                <c:pt idx="0">
                  <c:v>offset_6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Seabed_m_offset!$X$3:$X$2653</c:f>
              <c:numCache>
                <c:formatCode>0.000</c:formatCode>
                <c:ptCount val="2651"/>
                <c:pt idx="0">
                  <c:v>-27.882271645823494</c:v>
                </c:pt>
                <c:pt idx="1">
                  <c:v>0</c:v>
                </c:pt>
                <c:pt idx="2">
                  <c:v>0.83515200001420453</c:v>
                </c:pt>
                <c:pt idx="3">
                  <c:v>1.6733520000125282</c:v>
                </c:pt>
                <c:pt idx="4">
                  <c:v>29.572154184861574</c:v>
                </c:pt>
              </c:numCache>
            </c:numRef>
          </c:xVal>
          <c:yVal>
            <c:numRef>
              <c:f>Seabed_m_offset!$Y$3:$Y$2653</c:f>
              <c:numCache>
                <c:formatCode>0.000</c:formatCode>
                <c:ptCount val="2651"/>
                <c:pt idx="0">
                  <c:v>12.312973964959383</c:v>
                </c:pt>
                <c:pt idx="1">
                  <c:v>0</c:v>
                </c:pt>
                <c:pt idx="2">
                  <c:v>-0.36880799988284707</c:v>
                </c:pt>
                <c:pt idx="3">
                  <c:v>-0.73761600023135543</c:v>
                </c:pt>
                <c:pt idx="4">
                  <c:v>-13.013088970445096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56A-4665-BA99-0C93655AEDAA}"/>
            </c:ext>
          </c:extLst>
        </c:ser>
        <c:ser>
          <c:idx val="6"/>
          <c:order val="6"/>
          <c:tx>
            <c:strRef>
              <c:f>Seabed_m_offset!$AB$1</c:f>
              <c:strCache>
                <c:ptCount val="1"/>
                <c:pt idx="0">
                  <c:v>offset_7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Seabed_m_offset!$AB$3:$AB$2653</c:f>
              <c:numCache>
                <c:formatCode>0.000</c:formatCode>
                <c:ptCount val="2651"/>
                <c:pt idx="0">
                  <c:v>-29.113663645810448</c:v>
                </c:pt>
                <c:pt idx="1">
                  <c:v>-1.2313920000451617</c:v>
                </c:pt>
                <c:pt idx="2">
                  <c:v>-0.39624000003095716</c:v>
                </c:pt>
                <c:pt idx="3">
                  <c:v>0.44195999996736646</c:v>
                </c:pt>
                <c:pt idx="4">
                  <c:v>28.34076218487462</c:v>
                </c:pt>
              </c:numCache>
            </c:numRef>
          </c:xVal>
          <c:yVal>
            <c:numRef>
              <c:f>Seabed_m_offset!$AC$3:$AC$2653</c:f>
              <c:numCache>
                <c:formatCode>0.000</c:formatCode>
                <c:ptCount val="2651"/>
                <c:pt idx="0">
                  <c:v>9.5240539647638798</c:v>
                </c:pt>
                <c:pt idx="1">
                  <c:v>-2.7889200001955032</c:v>
                </c:pt>
                <c:pt idx="2">
                  <c:v>-3.1577280000783503</c:v>
                </c:pt>
                <c:pt idx="3">
                  <c:v>-3.5265360004268587</c:v>
                </c:pt>
                <c:pt idx="4">
                  <c:v>-15.8020089706406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56A-4665-BA99-0C93655AEDAA}"/>
            </c:ext>
          </c:extLst>
        </c:ser>
        <c:ser>
          <c:idx val="7"/>
          <c:order val="7"/>
          <c:tx>
            <c:strRef>
              <c:f>Seabed_m_offset!$AF$1</c:f>
              <c:strCache>
                <c:ptCount val="1"/>
                <c:pt idx="0">
                  <c:v>offset_8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Seabed_m_offset!$AF$3:$AF$2653</c:f>
              <c:numCache>
                <c:formatCode>0.000</c:formatCode>
                <c:ptCount val="2651"/>
                <c:pt idx="0">
                  <c:v>-30.307372371433303</c:v>
                </c:pt>
                <c:pt idx="1">
                  <c:v>-2.4627840000321157</c:v>
                </c:pt>
                <c:pt idx="2">
                  <c:v>-1.6276320000179112</c:v>
                </c:pt>
                <c:pt idx="3">
                  <c:v>-0.78943200001958758</c:v>
                </c:pt>
                <c:pt idx="4">
                  <c:v>27.109370191814378</c:v>
                </c:pt>
              </c:numCache>
            </c:numRef>
          </c:xVal>
          <c:yVal>
            <c:numRef>
              <c:f>Seabed_m_offset!$AG$3:$AG$2653</c:f>
              <c:numCache>
                <c:formatCode>0.000</c:formatCode>
                <c:ptCount val="2651"/>
                <c:pt idx="0">
                  <c:v>6.8231634134426713</c:v>
                </c:pt>
                <c:pt idx="1">
                  <c:v>-5.5747919999994338</c:v>
                </c:pt>
                <c:pt idx="2">
                  <c:v>-5.9466480002738535</c:v>
                </c:pt>
                <c:pt idx="3">
                  <c:v>-6.3154559996910393</c:v>
                </c:pt>
                <c:pt idx="4">
                  <c:v>-18.590928954072297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56A-4665-BA99-0C93655AEDAA}"/>
            </c:ext>
          </c:extLst>
        </c:ser>
        <c:ser>
          <c:idx val="8"/>
          <c:order val="8"/>
          <c:tx>
            <c:strRef>
              <c:f>Seabed_m_offset!$AJ$1</c:f>
              <c:strCache>
                <c:ptCount val="1"/>
                <c:pt idx="0">
                  <c:v>offset_9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Seabed_m_offset!$AJ$3:$AJ$2653</c:f>
              <c:numCache>
                <c:formatCode>0.000</c:formatCode>
                <c:ptCount val="2651"/>
                <c:pt idx="0">
                  <c:v>-31.576447638915852</c:v>
                </c:pt>
                <c:pt idx="1">
                  <c:v>-3.6941760000190698</c:v>
                </c:pt>
                <c:pt idx="2">
                  <c:v>-2.8590240000630729</c:v>
                </c:pt>
                <c:pt idx="3">
                  <c:v>-2.0208240000647493</c:v>
                </c:pt>
                <c:pt idx="4">
                  <c:v>25.840501447732095</c:v>
                </c:pt>
              </c:numCache>
            </c:numRef>
          </c:xVal>
          <c:yVal>
            <c:numRef>
              <c:f>Seabed_m_offset!$AK$3:$AK$2653</c:f>
              <c:numCache>
                <c:formatCode>0.000</c:formatCode>
                <c:ptCount val="2651"/>
                <c:pt idx="0">
                  <c:v>3.9492619810625911</c:v>
                </c:pt>
                <c:pt idx="1">
                  <c:v>-8.363712000194937</c:v>
                </c:pt>
                <c:pt idx="2">
                  <c:v>-8.7325200000777841</c:v>
                </c:pt>
                <c:pt idx="3">
                  <c:v>-9.1043759998865426</c:v>
                </c:pt>
                <c:pt idx="4">
                  <c:v>-21.464673095848411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56A-4665-BA99-0C93655AEDAA}"/>
            </c:ext>
          </c:extLst>
        </c:ser>
        <c:ser>
          <c:idx val="9"/>
          <c:order val="9"/>
          <c:tx>
            <c:strRef>
              <c:f>Seabed_m_offset!$AN$1</c:f>
              <c:strCache>
                <c:ptCount val="1"/>
                <c:pt idx="0">
                  <c:v>offset_10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Seabed_m_offset!$AN$3:$AN$2653</c:f>
              <c:numCache>
                <c:formatCode>0.000</c:formatCode>
                <c:ptCount val="2651"/>
                <c:pt idx="0">
                  <c:v>-32.807839645887725</c:v>
                </c:pt>
                <c:pt idx="1">
                  <c:v>-4.9255680000642315</c:v>
                </c:pt>
                <c:pt idx="2">
                  <c:v>-4.0904160000500269</c:v>
                </c:pt>
                <c:pt idx="3">
                  <c:v>-3.2552640000358224</c:v>
                </c:pt>
                <c:pt idx="4">
                  <c:v>24.627007638802752</c:v>
                </c:pt>
              </c:numCache>
            </c:numRef>
          </c:xVal>
          <c:yVal>
            <c:numRef>
              <c:f>Seabed_m_offset!$AO$3:$AO$2653</c:f>
              <c:numCache>
                <c:formatCode>0.000</c:formatCode>
                <c:ptCount val="2651"/>
                <c:pt idx="0">
                  <c:v>1.1603419650346041</c:v>
                </c:pt>
                <c:pt idx="1">
                  <c:v>-11.152631999924779</c:v>
                </c:pt>
                <c:pt idx="2">
                  <c:v>-11.521439999807626</c:v>
                </c:pt>
                <c:pt idx="3">
                  <c:v>-11.890248000156134</c:v>
                </c:pt>
                <c:pt idx="4">
                  <c:v>-24.203221981413662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56A-4665-BA99-0C93655AEDAA}"/>
            </c:ext>
          </c:extLst>
        </c:ser>
        <c:ser>
          <c:idx val="10"/>
          <c:order val="10"/>
          <c:tx>
            <c:strRef>
              <c:f>Seabed_m_offset!$AR$1</c:f>
              <c:strCache>
                <c:ptCount val="1"/>
                <c:pt idx="0">
                  <c:v>offset_11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Seabed_m_offset!$AR$3:$AR$2653</c:f>
              <c:numCache>
                <c:formatCode>0.000</c:formatCode>
                <c:ptCount val="2651"/>
                <c:pt idx="0">
                  <c:v>-34.039231646282133</c:v>
                </c:pt>
                <c:pt idx="1">
                  <c:v>-6.1569600000511855</c:v>
                </c:pt>
                <c:pt idx="2">
                  <c:v>-5.3218079999787733</c:v>
                </c:pt>
                <c:pt idx="3">
                  <c:v>-4.4866560000227764</c:v>
                </c:pt>
                <c:pt idx="4">
                  <c:v>23.395615638874006</c:v>
                </c:pt>
              </c:numCache>
            </c:numRef>
          </c:xVal>
          <c:yVal>
            <c:numRef>
              <c:f>Seabed_m_offset!$AS$3:$AS$2653</c:f>
              <c:numCache>
                <c:formatCode>0.000</c:formatCode>
                <c:ptCount val="2651"/>
                <c:pt idx="0">
                  <c:v>-1.6285780360922217</c:v>
                </c:pt>
                <c:pt idx="1">
                  <c:v>-13.941552000120282</c:v>
                </c:pt>
                <c:pt idx="2">
                  <c:v>-14.310360000003129</c:v>
                </c:pt>
                <c:pt idx="3">
                  <c:v>-14.679168000351638</c:v>
                </c:pt>
                <c:pt idx="4">
                  <c:v>-26.992141981143504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56A-4665-BA99-0C93655AEDAA}"/>
            </c:ext>
          </c:extLst>
        </c:ser>
        <c:ser>
          <c:idx val="11"/>
          <c:order val="11"/>
          <c:tx>
            <c:v>Route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FL6new2!$AL$4:$AL$23</c:f>
              <c:numCache>
                <c:formatCode>General</c:formatCode>
                <c:ptCount val="20"/>
                <c:pt idx="0">
                  <c:v>0</c:v>
                </c:pt>
                <c:pt idx="1">
                  <c:v>824.28709919995163</c:v>
                </c:pt>
                <c:pt idx="2">
                  <c:v>2223.6415775999776</c:v>
                </c:pt>
                <c:pt idx="3">
                  <c:v>2774.4633359999279</c:v>
                </c:pt>
                <c:pt idx="4" formatCode="0.000">
                  <c:v>2875.7666639999952</c:v>
                </c:pt>
                <c:pt idx="5">
                  <c:v>2969.5322879999294</c:v>
                </c:pt>
                <c:pt idx="6">
                  <c:v>3413.8947215999942</c:v>
                </c:pt>
                <c:pt idx="7">
                  <c:v>4492.3380815999699</c:v>
                </c:pt>
                <c:pt idx="8">
                  <c:v>5911.0476647999603</c:v>
                </c:pt>
                <c:pt idx="9">
                  <c:v>6639.829951199994</c:v>
                </c:pt>
                <c:pt idx="10">
                  <c:v>6955.4354159999639</c:v>
                </c:pt>
                <c:pt idx="11">
                  <c:v>7054.7544960000087</c:v>
                </c:pt>
                <c:pt idx="12">
                  <c:v>7282.8820560000022</c:v>
                </c:pt>
                <c:pt idx="13">
                  <c:v>7448.0257439999841</c:v>
                </c:pt>
                <c:pt idx="14">
                  <c:v>7795.0121975999791</c:v>
                </c:pt>
                <c:pt idx="15">
                  <c:v>8141.9974319999455</c:v>
                </c:pt>
                <c:pt idx="16">
                  <c:v>8346.1311359999236</c:v>
                </c:pt>
                <c:pt idx="17">
                  <c:v>8641.4274719999521</c:v>
                </c:pt>
                <c:pt idx="18">
                  <c:v>9393.1035911999643</c:v>
                </c:pt>
                <c:pt idx="19">
                  <c:v>10016.71555199998</c:v>
                </c:pt>
              </c:numCache>
            </c:numRef>
          </c:xVal>
          <c:yVal>
            <c:numRef>
              <c:f>FL6new2!$AM$4:$AM$23</c:f>
              <c:numCache>
                <c:formatCode>0.00</c:formatCode>
                <c:ptCount val="20"/>
                <c:pt idx="0">
                  <c:v>0</c:v>
                </c:pt>
                <c:pt idx="1">
                  <c:v>-364.13998799957335</c:v>
                </c:pt>
                <c:pt idx="2">
                  <c:v>-982.32437520008534</c:v>
                </c:pt>
                <c:pt idx="3">
                  <c:v>-1225.6587120001204</c:v>
                </c:pt>
                <c:pt idx="4" formatCode="0.000">
                  <c:v>-1270.4094480001368</c:v>
                </c:pt>
                <c:pt idx="5">
                  <c:v>-1329.3364320001565</c:v>
                </c:pt>
                <c:pt idx="6">
                  <c:v>-1608.5871815998107</c:v>
                </c:pt>
                <c:pt idx="7">
                  <c:v>-2286.3166871997528</c:v>
                </c:pt>
                <c:pt idx="8">
                  <c:v>-3177.8807663996704</c:v>
                </c:pt>
                <c:pt idx="9">
                  <c:v>-3635.8717224001884</c:v>
                </c:pt>
                <c:pt idx="10">
                  <c:v>-3834.2087399996817</c:v>
                </c:pt>
                <c:pt idx="11">
                  <c:v>-3896.6241600001231</c:v>
                </c:pt>
                <c:pt idx="12">
                  <c:v>-4039.9868399999104</c:v>
                </c:pt>
                <c:pt idx="13">
                  <c:v>-4252.8774480000138</c:v>
                </c:pt>
                <c:pt idx="14">
                  <c:v>-4700.1876023998484</c:v>
                </c:pt>
                <c:pt idx="15">
                  <c:v>-5147.4959280001931</c:v>
                </c:pt>
                <c:pt idx="16">
                  <c:v>-5410.651104000397</c:v>
                </c:pt>
                <c:pt idx="17">
                  <c:v>-5564.6604480003007</c:v>
                </c:pt>
                <c:pt idx="18">
                  <c:v>-5956.6923792003654</c:v>
                </c:pt>
                <c:pt idx="19">
                  <c:v>-6281.9340960001573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56A-4665-BA99-0C93655AE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156888"/>
        <c:axId val="1774152928"/>
      </c:scatterChart>
      <c:valAx>
        <c:axId val="1774156888"/>
        <c:scaling>
          <c:orientation val="minMax"/>
          <c:max val="16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(m) 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152928"/>
        <c:crossesAt val="-20"/>
        <c:crossBetween val="midCat"/>
      </c:valAx>
      <c:valAx>
        <c:axId val="1774152928"/>
        <c:scaling>
          <c:orientation val="minMax"/>
          <c:max val="5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(m) 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156888"/>
        <c:crossesAt val="-4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Seabed_m_offset!$D$1</c:f>
              <c:strCache>
                <c:ptCount val="1"/>
                <c:pt idx="0">
                  <c:v>offset_1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Seabed_m_offset!$D$3:$D$265300</c:f>
              <c:numCache>
                <c:formatCode>0.000</c:formatCode>
                <c:ptCount val="265298"/>
                <c:pt idx="0">
                  <c:v>-21.704365440818947</c:v>
                </c:pt>
                <c:pt idx="1">
                  <c:v>6.1569599999929778</c:v>
                </c:pt>
                <c:pt idx="2">
                  <c:v>6.9951599999913014</c:v>
                </c:pt>
                <c:pt idx="3">
                  <c:v>7.8303119999472983</c:v>
                </c:pt>
                <c:pt idx="4">
                  <c:v>35.712583645770792</c:v>
                </c:pt>
              </c:numCache>
            </c:numRef>
          </c:xVal>
          <c:yVal>
            <c:numRef>
              <c:f>Seabed_m_offset!$E$3:$E$265300</c:f>
              <c:numCache>
                <c:formatCode>0.000</c:formatCode>
                <c:ptCount val="265298"/>
                <c:pt idx="0">
                  <c:v>26.301849110983312</c:v>
                </c:pt>
                <c:pt idx="1">
                  <c:v>13.941551999654621</c:v>
                </c:pt>
                <c:pt idx="2">
                  <c:v>13.569695999845862</c:v>
                </c:pt>
                <c:pt idx="3">
                  <c:v>13.200887999963015</c:v>
                </c:pt>
                <c:pt idx="4">
                  <c:v>0.88791403453797102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9-4D29-8ADF-F9E2FEAC94C0}"/>
            </c:ext>
          </c:extLst>
        </c:ser>
        <c:ser>
          <c:idx val="1"/>
          <c:order val="1"/>
          <c:tx>
            <c:strRef>
              <c:f>Seabed_m_offset!$H$1</c:f>
              <c:strCache>
                <c:ptCount val="1"/>
                <c:pt idx="0">
                  <c:v>offset_2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Seabed_m_offset!$H$3:$H$265300</c:f>
              <c:numCache>
                <c:formatCode>0.000</c:formatCode>
                <c:ptCount val="265298"/>
                <c:pt idx="0">
                  <c:v>-22.973234191886149</c:v>
                </c:pt>
                <c:pt idx="1">
                  <c:v>4.9255679999478161</c:v>
                </c:pt>
                <c:pt idx="2">
                  <c:v>5.7637679999461398</c:v>
                </c:pt>
                <c:pt idx="3">
                  <c:v>6.5989199999603443</c:v>
                </c:pt>
                <c:pt idx="4">
                  <c:v>34.443508371361531</c:v>
                </c:pt>
              </c:numCache>
            </c:numRef>
          </c:xVal>
          <c:yVal>
            <c:numRef>
              <c:f>Seabed_m_offset!$I$3:$I$265300</c:f>
              <c:numCache>
                <c:formatCode>0.000</c:formatCode>
                <c:ptCount val="265298"/>
                <c:pt idx="0">
                  <c:v>23.428104954306036</c:v>
                </c:pt>
                <c:pt idx="1">
                  <c:v>11.152631999924779</c:v>
                </c:pt>
                <c:pt idx="2">
                  <c:v>10.783824000041932</c:v>
                </c:pt>
                <c:pt idx="3">
                  <c:v>10.411967999767512</c:v>
                </c:pt>
                <c:pt idx="4">
                  <c:v>-1.985987413674593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9-4D29-8ADF-F9E2FEAC94C0}"/>
            </c:ext>
          </c:extLst>
        </c:ser>
        <c:ser>
          <c:idx val="2"/>
          <c:order val="2"/>
          <c:tx>
            <c:strRef>
              <c:f>Seabed_m_offset!$L$1</c:f>
              <c:strCache>
                <c:ptCount val="1"/>
                <c:pt idx="0">
                  <c:v>offset_3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Seabed_m_offset!$L$3:$L$265300</c:f>
              <c:numCache>
                <c:formatCode>0.000</c:formatCode>
                <c:ptCount val="265298"/>
                <c:pt idx="0">
                  <c:v>-24.204626184946392</c:v>
                </c:pt>
                <c:pt idx="1">
                  <c:v>3.6941759999608621</c:v>
                </c:pt>
                <c:pt idx="2">
                  <c:v>4.5323759999591857</c:v>
                </c:pt>
                <c:pt idx="3">
                  <c:v>5.3675279999733903</c:v>
                </c:pt>
                <c:pt idx="4">
                  <c:v>33.249799638811965</c:v>
                </c:pt>
              </c:numCache>
            </c:numRef>
          </c:xVal>
          <c:yVal>
            <c:numRef>
              <c:f>Seabed_m_offset!$M$3:$M$265300</c:f>
              <c:numCache>
                <c:formatCode>0.000</c:formatCode>
                <c:ptCount val="265298"/>
                <c:pt idx="0">
                  <c:v>20.639184970408678</c:v>
                </c:pt>
                <c:pt idx="1">
                  <c:v>8.363712000194937</c:v>
                </c:pt>
                <c:pt idx="2">
                  <c:v>7.9949039998464286</c:v>
                </c:pt>
                <c:pt idx="3">
                  <c:v>7.6260959994979203</c:v>
                </c:pt>
                <c:pt idx="4">
                  <c:v>-4.6868779812939465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29-4D29-8ADF-F9E2FEAC94C0}"/>
            </c:ext>
          </c:extLst>
        </c:ser>
        <c:ser>
          <c:idx val="3"/>
          <c:order val="3"/>
          <c:tx>
            <c:strRef>
              <c:f>Seabed_m_offset!$P$1</c:f>
              <c:strCache>
                <c:ptCount val="1"/>
                <c:pt idx="0">
                  <c:v>offset_4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Seabed_m_offset!$P$3:$P$265300</c:f>
              <c:numCache>
                <c:formatCode>0.000</c:formatCode>
                <c:ptCount val="265298"/>
                <c:pt idx="0">
                  <c:v>-25.436018184933346</c:v>
                </c:pt>
                <c:pt idx="1">
                  <c:v>2.4627839999157004</c:v>
                </c:pt>
                <c:pt idx="2">
                  <c:v>3.300983999914024</c:v>
                </c:pt>
                <c:pt idx="3">
                  <c:v>4.1361359999282286</c:v>
                </c:pt>
                <c:pt idx="4">
                  <c:v>32.018407645751722</c:v>
                </c:pt>
              </c:numCache>
            </c:numRef>
          </c:xVal>
          <c:yVal>
            <c:numRef>
              <c:f>Seabed_m_offset!$Q$3:$Q$265300</c:f>
              <c:numCache>
                <c:formatCode>0.000</c:formatCode>
                <c:ptCount val="265298"/>
                <c:pt idx="0">
                  <c:v>17.850264970213175</c:v>
                </c:pt>
                <c:pt idx="1">
                  <c:v>5.5747919999994338</c:v>
                </c:pt>
                <c:pt idx="2">
                  <c:v>5.2059839996509254</c:v>
                </c:pt>
                <c:pt idx="3">
                  <c:v>4.8371760002337396</c:v>
                </c:pt>
                <c:pt idx="4">
                  <c:v>-7.4757979651913047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29-4D29-8ADF-F9E2FEAC94C0}"/>
            </c:ext>
          </c:extLst>
        </c:ser>
        <c:ser>
          <c:idx val="4"/>
          <c:order val="4"/>
          <c:tx>
            <c:strRef>
              <c:f>Seabed_m_offset!$T$1</c:f>
              <c:strCache>
                <c:ptCount val="1"/>
                <c:pt idx="0">
                  <c:v>offset_5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Seabed_m_offset!$T$3:$T$265300</c:f>
              <c:numCache>
                <c:formatCode>0.000</c:formatCode>
                <c:ptCount val="265298"/>
                <c:pt idx="0">
                  <c:v>-26.629933440766763</c:v>
                </c:pt>
                <c:pt idx="1">
                  <c:v>1.231391999986954</c:v>
                </c:pt>
                <c:pt idx="2">
                  <c:v>2.0695919999852777</c:v>
                </c:pt>
                <c:pt idx="3">
                  <c:v>2.9047439999994822</c:v>
                </c:pt>
                <c:pt idx="4">
                  <c:v>30.787015645822976</c:v>
                </c:pt>
              </c:numCache>
            </c:numRef>
          </c:xVal>
          <c:yVal>
            <c:numRef>
              <c:f>Seabed_m_offset!$U$3:$U$265300</c:f>
              <c:numCache>
                <c:formatCode>0.000</c:formatCode>
                <c:ptCount val="265298"/>
                <c:pt idx="0">
                  <c:v>15.149217111058533</c:v>
                </c:pt>
                <c:pt idx="1">
                  <c:v>2.7889199997298419</c:v>
                </c:pt>
                <c:pt idx="2">
                  <c:v>2.4170639999210835</c:v>
                </c:pt>
                <c:pt idx="3">
                  <c:v>2.0482560000382364</c:v>
                </c:pt>
                <c:pt idx="4">
                  <c:v>-10.264717965386808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29-4D29-8ADF-F9E2FEAC94C0}"/>
            </c:ext>
          </c:extLst>
        </c:ser>
        <c:ser>
          <c:idx val="5"/>
          <c:order val="5"/>
          <c:tx>
            <c:strRef>
              <c:f>Seabed_m_offset!$X$1</c:f>
              <c:strCache>
                <c:ptCount val="1"/>
                <c:pt idx="0">
                  <c:v>offset_6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Seabed_m_offset!$X$3:$X$26530</c:f>
              <c:numCache>
                <c:formatCode>0.000</c:formatCode>
                <c:ptCount val="26528"/>
                <c:pt idx="0">
                  <c:v>-27.882271645823494</c:v>
                </c:pt>
                <c:pt idx="1">
                  <c:v>0</c:v>
                </c:pt>
                <c:pt idx="2">
                  <c:v>0.83515200001420453</c:v>
                </c:pt>
                <c:pt idx="3">
                  <c:v>1.6733520000125282</c:v>
                </c:pt>
                <c:pt idx="4">
                  <c:v>29.572154184861574</c:v>
                </c:pt>
              </c:numCache>
            </c:numRef>
          </c:xVal>
          <c:yVal>
            <c:numRef>
              <c:f>Seabed_m_offset!$Y$3:$Y$26530</c:f>
              <c:numCache>
                <c:formatCode>0.000</c:formatCode>
                <c:ptCount val="26528"/>
                <c:pt idx="0">
                  <c:v>12.312973964959383</c:v>
                </c:pt>
                <c:pt idx="1">
                  <c:v>0</c:v>
                </c:pt>
                <c:pt idx="2">
                  <c:v>-0.36880799988284707</c:v>
                </c:pt>
                <c:pt idx="3">
                  <c:v>-0.73761600023135543</c:v>
                </c:pt>
                <c:pt idx="4">
                  <c:v>-13.013088970445096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29-4D29-8ADF-F9E2FEAC94C0}"/>
            </c:ext>
          </c:extLst>
        </c:ser>
        <c:ser>
          <c:idx val="6"/>
          <c:order val="6"/>
          <c:tx>
            <c:strRef>
              <c:f>Seabed_m_offset!$AB$1</c:f>
              <c:strCache>
                <c:ptCount val="1"/>
                <c:pt idx="0">
                  <c:v>offset_7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Seabed_m_offset!$AB$3:$AB$26530</c:f>
              <c:numCache>
                <c:formatCode>0.000</c:formatCode>
                <c:ptCount val="26528"/>
                <c:pt idx="0">
                  <c:v>-29.113663645810448</c:v>
                </c:pt>
                <c:pt idx="1">
                  <c:v>-1.2313920000451617</c:v>
                </c:pt>
                <c:pt idx="2">
                  <c:v>-0.39624000003095716</c:v>
                </c:pt>
                <c:pt idx="3">
                  <c:v>0.44195999996736646</c:v>
                </c:pt>
                <c:pt idx="4">
                  <c:v>28.34076218487462</c:v>
                </c:pt>
              </c:numCache>
            </c:numRef>
          </c:xVal>
          <c:yVal>
            <c:numRef>
              <c:f>Seabed_m_offset!$AC$3:$AC$26530</c:f>
              <c:numCache>
                <c:formatCode>0.000</c:formatCode>
                <c:ptCount val="26528"/>
                <c:pt idx="0">
                  <c:v>9.5240539647638798</c:v>
                </c:pt>
                <c:pt idx="1">
                  <c:v>-2.7889200001955032</c:v>
                </c:pt>
                <c:pt idx="2">
                  <c:v>-3.1577280000783503</c:v>
                </c:pt>
                <c:pt idx="3">
                  <c:v>-3.5265360004268587</c:v>
                </c:pt>
                <c:pt idx="4">
                  <c:v>-15.8020089706406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629-4D29-8ADF-F9E2FEAC94C0}"/>
            </c:ext>
          </c:extLst>
        </c:ser>
        <c:ser>
          <c:idx val="7"/>
          <c:order val="7"/>
          <c:tx>
            <c:strRef>
              <c:f>Seabed_m_offset!$AF$1</c:f>
              <c:strCache>
                <c:ptCount val="1"/>
                <c:pt idx="0">
                  <c:v>offset_8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Seabed_m_offset!$AF$3:$AF$26530</c:f>
              <c:numCache>
                <c:formatCode>0.000</c:formatCode>
                <c:ptCount val="26528"/>
                <c:pt idx="0">
                  <c:v>-30.307372371433303</c:v>
                </c:pt>
                <c:pt idx="1">
                  <c:v>-2.4627840000321157</c:v>
                </c:pt>
                <c:pt idx="2">
                  <c:v>-1.6276320000179112</c:v>
                </c:pt>
                <c:pt idx="3">
                  <c:v>-0.78943200001958758</c:v>
                </c:pt>
                <c:pt idx="4">
                  <c:v>27.109370191814378</c:v>
                </c:pt>
              </c:numCache>
            </c:numRef>
          </c:xVal>
          <c:yVal>
            <c:numRef>
              <c:f>Seabed_m_offset!$AG$3:$AG$26530</c:f>
              <c:numCache>
                <c:formatCode>0.000</c:formatCode>
                <c:ptCount val="26528"/>
                <c:pt idx="0">
                  <c:v>6.8231634134426713</c:v>
                </c:pt>
                <c:pt idx="1">
                  <c:v>-5.5747919999994338</c:v>
                </c:pt>
                <c:pt idx="2">
                  <c:v>-5.9466480002738535</c:v>
                </c:pt>
                <c:pt idx="3">
                  <c:v>-6.3154559996910393</c:v>
                </c:pt>
                <c:pt idx="4">
                  <c:v>-18.590928954072297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629-4D29-8ADF-F9E2FEAC94C0}"/>
            </c:ext>
          </c:extLst>
        </c:ser>
        <c:ser>
          <c:idx val="8"/>
          <c:order val="8"/>
          <c:tx>
            <c:strRef>
              <c:f>Seabed_m_offset!$AJ$1</c:f>
              <c:strCache>
                <c:ptCount val="1"/>
                <c:pt idx="0">
                  <c:v>offset_9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Seabed_m_offset!$AJ$3:$AJ$26530</c:f>
              <c:numCache>
                <c:formatCode>0.000</c:formatCode>
                <c:ptCount val="26528"/>
                <c:pt idx="0">
                  <c:v>-31.576447638915852</c:v>
                </c:pt>
                <c:pt idx="1">
                  <c:v>-3.6941760000190698</c:v>
                </c:pt>
                <c:pt idx="2">
                  <c:v>-2.8590240000630729</c:v>
                </c:pt>
                <c:pt idx="3">
                  <c:v>-2.0208240000647493</c:v>
                </c:pt>
                <c:pt idx="4">
                  <c:v>25.840501447732095</c:v>
                </c:pt>
              </c:numCache>
            </c:numRef>
          </c:xVal>
          <c:yVal>
            <c:numRef>
              <c:f>Seabed_m_offset!$AK$3:$AK$26530</c:f>
              <c:numCache>
                <c:formatCode>0.000</c:formatCode>
                <c:ptCount val="26528"/>
                <c:pt idx="0">
                  <c:v>3.9492619810625911</c:v>
                </c:pt>
                <c:pt idx="1">
                  <c:v>-8.363712000194937</c:v>
                </c:pt>
                <c:pt idx="2">
                  <c:v>-8.7325200000777841</c:v>
                </c:pt>
                <c:pt idx="3">
                  <c:v>-9.1043759998865426</c:v>
                </c:pt>
                <c:pt idx="4">
                  <c:v>-21.464673095848411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629-4D29-8ADF-F9E2FEAC94C0}"/>
            </c:ext>
          </c:extLst>
        </c:ser>
        <c:ser>
          <c:idx val="9"/>
          <c:order val="9"/>
          <c:tx>
            <c:strRef>
              <c:f>Seabed_m_offset!$AN$1</c:f>
              <c:strCache>
                <c:ptCount val="1"/>
                <c:pt idx="0">
                  <c:v>offset_10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Seabed_m_offset!$AN$3:$AN$26530</c:f>
              <c:numCache>
                <c:formatCode>0.000</c:formatCode>
                <c:ptCount val="26528"/>
                <c:pt idx="0">
                  <c:v>-32.807839645887725</c:v>
                </c:pt>
                <c:pt idx="1">
                  <c:v>-4.9255680000642315</c:v>
                </c:pt>
                <c:pt idx="2">
                  <c:v>-4.0904160000500269</c:v>
                </c:pt>
                <c:pt idx="3">
                  <c:v>-3.2552640000358224</c:v>
                </c:pt>
                <c:pt idx="4">
                  <c:v>24.627007638802752</c:v>
                </c:pt>
              </c:numCache>
            </c:numRef>
          </c:xVal>
          <c:yVal>
            <c:numRef>
              <c:f>Seabed_m_offset!$AO$3:$AO$265300</c:f>
              <c:numCache>
                <c:formatCode>0.000</c:formatCode>
                <c:ptCount val="265298"/>
                <c:pt idx="0">
                  <c:v>1.1603419650346041</c:v>
                </c:pt>
                <c:pt idx="1">
                  <c:v>-11.152631999924779</c:v>
                </c:pt>
                <c:pt idx="2">
                  <c:v>-11.521439999807626</c:v>
                </c:pt>
                <c:pt idx="3">
                  <c:v>-11.890248000156134</c:v>
                </c:pt>
                <c:pt idx="4">
                  <c:v>-24.203221981413662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629-4D29-8ADF-F9E2FEAC94C0}"/>
            </c:ext>
          </c:extLst>
        </c:ser>
        <c:ser>
          <c:idx val="10"/>
          <c:order val="10"/>
          <c:tx>
            <c:strRef>
              <c:f>Seabed_m_offset!$AR$1</c:f>
              <c:strCache>
                <c:ptCount val="1"/>
                <c:pt idx="0">
                  <c:v>offset_11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Seabed_m_offset!$AR$3:$AR$26530</c:f>
              <c:numCache>
                <c:formatCode>0.000</c:formatCode>
                <c:ptCount val="26528"/>
                <c:pt idx="0">
                  <c:v>-34.039231646282133</c:v>
                </c:pt>
                <c:pt idx="1">
                  <c:v>-6.1569600000511855</c:v>
                </c:pt>
                <c:pt idx="2">
                  <c:v>-5.3218079999787733</c:v>
                </c:pt>
                <c:pt idx="3">
                  <c:v>-4.4866560000227764</c:v>
                </c:pt>
                <c:pt idx="4">
                  <c:v>23.395615638874006</c:v>
                </c:pt>
              </c:numCache>
            </c:numRef>
          </c:xVal>
          <c:yVal>
            <c:numRef>
              <c:f>Seabed_m_offset!$AS$3:$AS$26530</c:f>
              <c:numCache>
                <c:formatCode>0.000</c:formatCode>
                <c:ptCount val="26528"/>
                <c:pt idx="0">
                  <c:v>-1.6285780360922217</c:v>
                </c:pt>
                <c:pt idx="1">
                  <c:v>-13.941552000120282</c:v>
                </c:pt>
                <c:pt idx="2">
                  <c:v>-14.310360000003129</c:v>
                </c:pt>
                <c:pt idx="3">
                  <c:v>-14.679168000351638</c:v>
                </c:pt>
                <c:pt idx="4">
                  <c:v>-26.992141981143504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629-4D29-8ADF-F9E2FEAC94C0}"/>
            </c:ext>
          </c:extLst>
        </c:ser>
        <c:ser>
          <c:idx val="11"/>
          <c:order val="11"/>
          <c:tx>
            <c:v>Route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FL6new2!$AL$4:$AL$23</c:f>
              <c:numCache>
                <c:formatCode>General</c:formatCode>
                <c:ptCount val="20"/>
                <c:pt idx="0">
                  <c:v>0</c:v>
                </c:pt>
                <c:pt idx="1">
                  <c:v>824.28709919995163</c:v>
                </c:pt>
                <c:pt idx="2">
                  <c:v>2223.6415775999776</c:v>
                </c:pt>
                <c:pt idx="3">
                  <c:v>2774.4633359999279</c:v>
                </c:pt>
                <c:pt idx="4" formatCode="0.000">
                  <c:v>2875.7666639999952</c:v>
                </c:pt>
                <c:pt idx="5">
                  <c:v>2969.5322879999294</c:v>
                </c:pt>
                <c:pt idx="6">
                  <c:v>3413.8947215999942</c:v>
                </c:pt>
                <c:pt idx="7">
                  <c:v>4492.3380815999699</c:v>
                </c:pt>
                <c:pt idx="8">
                  <c:v>5911.0476647999603</c:v>
                </c:pt>
                <c:pt idx="9">
                  <c:v>6639.829951199994</c:v>
                </c:pt>
                <c:pt idx="10">
                  <c:v>6955.4354159999639</c:v>
                </c:pt>
                <c:pt idx="11">
                  <c:v>7054.7544960000087</c:v>
                </c:pt>
                <c:pt idx="12">
                  <c:v>7282.8820560000022</c:v>
                </c:pt>
                <c:pt idx="13">
                  <c:v>7448.0257439999841</c:v>
                </c:pt>
                <c:pt idx="14">
                  <c:v>7795.0121975999791</c:v>
                </c:pt>
                <c:pt idx="15">
                  <c:v>8141.9974319999455</c:v>
                </c:pt>
                <c:pt idx="16">
                  <c:v>8346.1311359999236</c:v>
                </c:pt>
                <c:pt idx="17">
                  <c:v>8641.4274719999521</c:v>
                </c:pt>
                <c:pt idx="18">
                  <c:v>9393.1035911999643</c:v>
                </c:pt>
                <c:pt idx="19">
                  <c:v>10016.71555199998</c:v>
                </c:pt>
              </c:numCache>
            </c:numRef>
          </c:xVal>
          <c:yVal>
            <c:numRef>
              <c:f>FL6new2!$AM$4:$AM$23</c:f>
              <c:numCache>
                <c:formatCode>0.00</c:formatCode>
                <c:ptCount val="20"/>
                <c:pt idx="0">
                  <c:v>0</c:v>
                </c:pt>
                <c:pt idx="1">
                  <c:v>-364.13998799957335</c:v>
                </c:pt>
                <c:pt idx="2">
                  <c:v>-982.32437520008534</c:v>
                </c:pt>
                <c:pt idx="3">
                  <c:v>-1225.6587120001204</c:v>
                </c:pt>
                <c:pt idx="4" formatCode="0.000">
                  <c:v>-1270.4094480001368</c:v>
                </c:pt>
                <c:pt idx="5">
                  <c:v>-1329.3364320001565</c:v>
                </c:pt>
                <c:pt idx="6">
                  <c:v>-1608.5871815998107</c:v>
                </c:pt>
                <c:pt idx="7">
                  <c:v>-2286.3166871997528</c:v>
                </c:pt>
                <c:pt idx="8">
                  <c:v>-3177.8807663996704</c:v>
                </c:pt>
                <c:pt idx="9">
                  <c:v>-3635.8717224001884</c:v>
                </c:pt>
                <c:pt idx="10">
                  <c:v>-3834.2087399996817</c:v>
                </c:pt>
                <c:pt idx="11">
                  <c:v>-3896.6241600001231</c:v>
                </c:pt>
                <c:pt idx="12">
                  <c:v>-4039.9868399999104</c:v>
                </c:pt>
                <c:pt idx="13">
                  <c:v>-4252.8774480000138</c:v>
                </c:pt>
                <c:pt idx="14">
                  <c:v>-4700.1876023998484</c:v>
                </c:pt>
                <c:pt idx="15">
                  <c:v>-5147.4959280001931</c:v>
                </c:pt>
                <c:pt idx="16">
                  <c:v>-5410.651104000397</c:v>
                </c:pt>
                <c:pt idx="17">
                  <c:v>-5564.6604480003007</c:v>
                </c:pt>
                <c:pt idx="18">
                  <c:v>-5956.6923792003654</c:v>
                </c:pt>
                <c:pt idx="19">
                  <c:v>-6281.9340960001573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629-4D29-8ADF-F9E2FEAC9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156888"/>
        <c:axId val="1774152928"/>
      </c:scatterChart>
      <c:valAx>
        <c:axId val="1774156888"/>
        <c:scaling>
          <c:orientation val="minMax"/>
          <c:max val="3400"/>
          <c:min val="2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(m) 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152928"/>
        <c:crosses val="autoZero"/>
        <c:crossBetween val="midCat"/>
      </c:valAx>
      <c:valAx>
        <c:axId val="1774152928"/>
        <c:scaling>
          <c:orientation val="minMax"/>
          <c:max val="-1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(m) 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156888"/>
        <c:crossesAt val="-2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871118283128332E-2"/>
          <c:y val="5.6165624457196313E-2"/>
          <c:w val="0.83898235529594534"/>
          <c:h val="0.87649433805778054"/>
        </c:manualLayout>
      </c:layout>
      <c:scatterChart>
        <c:scatterStyle val="lineMarker"/>
        <c:varyColors val="0"/>
        <c:ser>
          <c:idx val="0"/>
          <c:order val="0"/>
          <c:tx>
            <c:v>FL5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9-4AFA-8892-5895DC9B8FF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89-4AFA-8892-5895DC9B8FF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989-4AFA-8892-5895DC9B8FF5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989-4AFA-8892-5895DC9B8FF5}"/>
            </c:ext>
          </c:extLst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989-4AFA-8892-5895DC9B8FF5}"/>
            </c:ext>
          </c:extLst>
        </c:ser>
        <c:ser>
          <c:idx val="5"/>
          <c:order val="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989-4AFA-8892-5895DC9B8FF5}"/>
            </c:ext>
          </c:extLst>
        </c:ser>
        <c:ser>
          <c:idx val="6"/>
          <c:order val="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989-4AFA-8892-5895DC9B8FF5}"/>
            </c:ext>
          </c:extLst>
        </c:ser>
        <c:ser>
          <c:idx val="7"/>
          <c:order val="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989-4AFA-8892-5895DC9B8FF5}"/>
            </c:ext>
          </c:extLst>
        </c:ser>
        <c:ser>
          <c:idx val="8"/>
          <c:order val="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989-4AFA-8892-5895DC9B8FF5}"/>
            </c:ext>
          </c:extLst>
        </c:ser>
        <c:ser>
          <c:idx val="10"/>
          <c:order val="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989-4AFA-8892-5895DC9B8FF5}"/>
            </c:ext>
          </c:extLst>
        </c:ser>
        <c:ser>
          <c:idx val="11"/>
          <c:order val="1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989-4AFA-8892-5895DC9B8FF5}"/>
            </c:ext>
          </c:extLst>
        </c:ser>
        <c:ser>
          <c:idx val="12"/>
          <c:order val="1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989-4AFA-8892-5895DC9B8FF5}"/>
            </c:ext>
          </c:extLst>
        </c:ser>
        <c:ser>
          <c:idx val="14"/>
          <c:order val="1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989-4AFA-8892-5895DC9B8FF5}"/>
            </c:ext>
          </c:extLst>
        </c:ser>
        <c:ser>
          <c:idx val="15"/>
          <c:order val="1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989-4AFA-8892-5895DC9B8FF5}"/>
            </c:ext>
          </c:extLst>
        </c:ser>
        <c:ser>
          <c:idx val="16"/>
          <c:order val="1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989-4AFA-8892-5895DC9B8FF5}"/>
            </c:ext>
          </c:extLst>
        </c:ser>
        <c:ser>
          <c:idx val="9"/>
          <c:order val="1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989-4AFA-8892-5895DC9B8FF5}"/>
            </c:ext>
          </c:extLst>
        </c:ser>
        <c:ser>
          <c:idx val="13"/>
          <c:order val="17"/>
          <c:tx>
            <c:v>Center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989-4AFA-8892-5895DC9B8FF5}"/>
            </c:ext>
          </c:extLst>
        </c:ser>
        <c:ser>
          <c:idx val="18"/>
          <c:order val="18"/>
          <c:tx>
            <c:v>TRF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989-4AFA-8892-5895DC9B8FF5}"/>
            </c:ext>
          </c:extLst>
        </c:ser>
        <c:ser>
          <c:idx val="22"/>
          <c:order val="20"/>
          <c:tx>
            <c:v>FL6_iEPCI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FL6new2!$A$1:$A$129290</c:f>
              <c:numCache>
                <c:formatCode>General</c:formatCode>
                <c:ptCount val="129290"/>
                <c:pt idx="0">
                  <c:v>1495604.33</c:v>
                </c:pt>
                <c:pt idx="1">
                  <c:v>1495607.0741580999</c:v>
                </c:pt>
                <c:pt idx="2">
                  <c:v>1495609.8183162</c:v>
                </c:pt>
                <c:pt idx="3">
                  <c:v>1495612.5624742899</c:v>
                </c:pt>
                <c:pt idx="4">
                  <c:v>1495615.30663239</c:v>
                </c:pt>
                <c:pt idx="5">
                  <c:v>1495618.0507904899</c:v>
                </c:pt>
                <c:pt idx="6">
                  <c:v>1495620.79494859</c:v>
                </c:pt>
                <c:pt idx="7">
                  <c:v>1495623.5391066801</c:v>
                </c:pt>
                <c:pt idx="8">
                  <c:v>1495626.28326478</c:v>
                </c:pt>
                <c:pt idx="9">
                  <c:v>1495629.0274228801</c:v>
                </c:pt>
                <c:pt idx="10">
                  <c:v>1495631.7715809799</c:v>
                </c:pt>
                <c:pt idx="11">
                  <c:v>1495634.51573907</c:v>
                </c:pt>
                <c:pt idx="12">
                  <c:v>1495637.2598971699</c:v>
                </c:pt>
                <c:pt idx="13">
                  <c:v>1495640.00405527</c:v>
                </c:pt>
                <c:pt idx="14">
                  <c:v>1495642.7482133701</c:v>
                </c:pt>
                <c:pt idx="15">
                  <c:v>1495645.49237146</c:v>
                </c:pt>
                <c:pt idx="16">
                  <c:v>1495648.2365295601</c:v>
                </c:pt>
                <c:pt idx="17">
                  <c:v>1495650.9806876599</c:v>
                </c:pt>
                <c:pt idx="18">
                  <c:v>1495653.72484576</c:v>
                </c:pt>
                <c:pt idx="19">
                  <c:v>1495656.4690038599</c:v>
                </c:pt>
                <c:pt idx="20">
                  <c:v>1495659.21316195</c:v>
                </c:pt>
                <c:pt idx="21">
                  <c:v>1495661.9573200501</c:v>
                </c:pt>
                <c:pt idx="22">
                  <c:v>1495664.70147815</c:v>
                </c:pt>
                <c:pt idx="23">
                  <c:v>1495667.4456362501</c:v>
                </c:pt>
                <c:pt idx="24">
                  <c:v>1495670.1897943399</c:v>
                </c:pt>
                <c:pt idx="25">
                  <c:v>1495672.93395244</c:v>
                </c:pt>
                <c:pt idx="26">
                  <c:v>1495675.6781105399</c:v>
                </c:pt>
                <c:pt idx="27">
                  <c:v>1495678.42226864</c:v>
                </c:pt>
                <c:pt idx="28">
                  <c:v>1495681.1664267301</c:v>
                </c:pt>
                <c:pt idx="29">
                  <c:v>1495683.91058483</c:v>
                </c:pt>
                <c:pt idx="30">
                  <c:v>1495686.6547429301</c:v>
                </c:pt>
                <c:pt idx="31">
                  <c:v>1495689.39890103</c:v>
                </c:pt>
                <c:pt idx="32">
                  <c:v>1495692.14305912</c:v>
                </c:pt>
                <c:pt idx="33">
                  <c:v>1495694.8872172199</c:v>
                </c:pt>
                <c:pt idx="34">
                  <c:v>1495697.63137532</c:v>
                </c:pt>
                <c:pt idx="35">
                  <c:v>1495700.3755334199</c:v>
                </c:pt>
                <c:pt idx="36">
                  <c:v>1495703.11969151</c:v>
                </c:pt>
                <c:pt idx="37">
                  <c:v>1495705.8638496101</c:v>
                </c:pt>
                <c:pt idx="38">
                  <c:v>1495708.60800771</c:v>
                </c:pt>
                <c:pt idx="39">
                  <c:v>1495711.3521658101</c:v>
                </c:pt>
                <c:pt idx="40">
                  <c:v>1495714.0963239099</c:v>
                </c:pt>
                <c:pt idx="41">
                  <c:v>1495716.840482</c:v>
                </c:pt>
                <c:pt idx="42">
                  <c:v>1495719.5846400999</c:v>
                </c:pt>
                <c:pt idx="43">
                  <c:v>1495722.3287982</c:v>
                </c:pt>
                <c:pt idx="44">
                  <c:v>1495725.0729563001</c:v>
                </c:pt>
                <c:pt idx="45">
                  <c:v>1495727.81711439</c:v>
                </c:pt>
                <c:pt idx="46">
                  <c:v>1495730.5612724901</c:v>
                </c:pt>
                <c:pt idx="47">
                  <c:v>1495733.3054305899</c:v>
                </c:pt>
                <c:pt idx="48">
                  <c:v>1495736.04958869</c:v>
                </c:pt>
                <c:pt idx="49">
                  <c:v>1495738.7937467799</c:v>
                </c:pt>
                <c:pt idx="50">
                  <c:v>1495741.53790488</c:v>
                </c:pt>
                <c:pt idx="51">
                  <c:v>1495744.2820629801</c:v>
                </c:pt>
                <c:pt idx="52">
                  <c:v>1495747.02622108</c:v>
                </c:pt>
                <c:pt idx="53">
                  <c:v>1495749.7703791701</c:v>
                </c:pt>
                <c:pt idx="54">
                  <c:v>1495752.5145372699</c:v>
                </c:pt>
                <c:pt idx="55">
                  <c:v>1495755.2586953701</c:v>
                </c:pt>
                <c:pt idx="56">
                  <c:v>1495758.0028534699</c:v>
                </c:pt>
                <c:pt idx="57">
                  <c:v>1495760.74701157</c:v>
                </c:pt>
                <c:pt idx="58">
                  <c:v>1495763.4911696599</c:v>
                </c:pt>
                <c:pt idx="59">
                  <c:v>1495766.23532776</c:v>
                </c:pt>
                <c:pt idx="60">
                  <c:v>1495768.9794858601</c:v>
                </c:pt>
                <c:pt idx="61">
                  <c:v>1495771.72364396</c:v>
                </c:pt>
                <c:pt idx="62">
                  <c:v>1495774.4678020501</c:v>
                </c:pt>
                <c:pt idx="63">
                  <c:v>1495777.2119601499</c:v>
                </c:pt>
                <c:pt idx="64">
                  <c:v>1495779.95611825</c:v>
                </c:pt>
                <c:pt idx="65">
                  <c:v>1495782.7002763499</c:v>
                </c:pt>
                <c:pt idx="66">
                  <c:v>1495785.44443444</c:v>
                </c:pt>
                <c:pt idx="67">
                  <c:v>1495788.1885925401</c:v>
                </c:pt>
                <c:pt idx="68">
                  <c:v>1495790.93275064</c:v>
                </c:pt>
                <c:pt idx="69">
                  <c:v>1495793.6769087401</c:v>
                </c:pt>
                <c:pt idx="70">
                  <c:v>1495796.4210668299</c:v>
                </c:pt>
                <c:pt idx="71">
                  <c:v>1495799.16522493</c:v>
                </c:pt>
                <c:pt idx="72">
                  <c:v>1495801.9093830299</c:v>
                </c:pt>
                <c:pt idx="73">
                  <c:v>1495804.65354113</c:v>
                </c:pt>
                <c:pt idx="74">
                  <c:v>1495807.3976992299</c:v>
                </c:pt>
                <c:pt idx="75">
                  <c:v>1495810.14185732</c:v>
                </c:pt>
                <c:pt idx="76">
                  <c:v>1495812.8860154201</c:v>
                </c:pt>
                <c:pt idx="77">
                  <c:v>1495815.63017352</c:v>
                </c:pt>
                <c:pt idx="78">
                  <c:v>1495818.3743316201</c:v>
                </c:pt>
                <c:pt idx="79">
                  <c:v>1495821.1184897099</c:v>
                </c:pt>
                <c:pt idx="80">
                  <c:v>1495823.86264781</c:v>
                </c:pt>
                <c:pt idx="81">
                  <c:v>1495826.6068059099</c:v>
                </c:pt>
                <c:pt idx="82">
                  <c:v>1495829.35096401</c:v>
                </c:pt>
                <c:pt idx="83">
                  <c:v>1495832.0951221001</c:v>
                </c:pt>
                <c:pt idx="84">
                  <c:v>1495834.8392802</c:v>
                </c:pt>
                <c:pt idx="85">
                  <c:v>1495837.5834383001</c:v>
                </c:pt>
                <c:pt idx="86">
                  <c:v>1495840.3275963999</c:v>
                </c:pt>
                <c:pt idx="87">
                  <c:v>1495843.07175449</c:v>
                </c:pt>
                <c:pt idx="88">
                  <c:v>1495845.8159125899</c:v>
                </c:pt>
                <c:pt idx="89">
                  <c:v>1495848.56007069</c:v>
                </c:pt>
                <c:pt idx="90">
                  <c:v>1495851.3042287901</c:v>
                </c:pt>
                <c:pt idx="91">
                  <c:v>1495854.04838688</c:v>
                </c:pt>
                <c:pt idx="92">
                  <c:v>1495856.7925449801</c:v>
                </c:pt>
                <c:pt idx="93">
                  <c:v>1495859.5367030799</c:v>
                </c:pt>
                <c:pt idx="94">
                  <c:v>1495862.28086118</c:v>
                </c:pt>
                <c:pt idx="95">
                  <c:v>1495865.0250192799</c:v>
                </c:pt>
                <c:pt idx="96">
                  <c:v>1495867.76917737</c:v>
                </c:pt>
                <c:pt idx="97">
                  <c:v>1495870.5133354701</c:v>
                </c:pt>
                <c:pt idx="98">
                  <c:v>1495873.25749357</c:v>
                </c:pt>
                <c:pt idx="99">
                  <c:v>1495876.0016516701</c:v>
                </c:pt>
                <c:pt idx="100">
                  <c:v>1495878.7458097599</c:v>
                </c:pt>
                <c:pt idx="101">
                  <c:v>1495881.48996786</c:v>
                </c:pt>
                <c:pt idx="102">
                  <c:v>1495884.2341259599</c:v>
                </c:pt>
                <c:pt idx="103">
                  <c:v>1495886.97828406</c:v>
                </c:pt>
                <c:pt idx="104">
                  <c:v>1495889.7224421501</c:v>
                </c:pt>
                <c:pt idx="105">
                  <c:v>1495892.46660025</c:v>
                </c:pt>
                <c:pt idx="106">
                  <c:v>1495895.2107583501</c:v>
                </c:pt>
                <c:pt idx="107">
                  <c:v>1495897.95491645</c:v>
                </c:pt>
                <c:pt idx="108">
                  <c:v>1495900.6990745401</c:v>
                </c:pt>
                <c:pt idx="109">
                  <c:v>1495903.4432326399</c:v>
                </c:pt>
                <c:pt idx="110">
                  <c:v>1495906.18739074</c:v>
                </c:pt>
                <c:pt idx="111">
                  <c:v>1495908.9315488399</c:v>
                </c:pt>
                <c:pt idx="112">
                  <c:v>1495911.67570694</c:v>
                </c:pt>
                <c:pt idx="113">
                  <c:v>1495914.4198650301</c:v>
                </c:pt>
                <c:pt idx="114">
                  <c:v>1495917.16402313</c:v>
                </c:pt>
                <c:pt idx="115">
                  <c:v>1495919.9081812301</c:v>
                </c:pt>
                <c:pt idx="116">
                  <c:v>1495922.6523393299</c:v>
                </c:pt>
                <c:pt idx="117">
                  <c:v>1495925.39649742</c:v>
                </c:pt>
                <c:pt idx="118">
                  <c:v>1495928.1406555199</c:v>
                </c:pt>
                <c:pt idx="119">
                  <c:v>1495930.88481362</c:v>
                </c:pt>
                <c:pt idx="120">
                  <c:v>1495933.6289717201</c:v>
                </c:pt>
                <c:pt idx="121">
                  <c:v>1495936.37312981</c:v>
                </c:pt>
                <c:pt idx="122">
                  <c:v>1495939.1172879101</c:v>
                </c:pt>
                <c:pt idx="123">
                  <c:v>1495941.8614460099</c:v>
                </c:pt>
              </c:numCache>
            </c:numRef>
          </c:xVal>
          <c:yVal>
            <c:numRef>
              <c:f>FL6new2!$B$1:$B$129290</c:f>
              <c:numCache>
                <c:formatCode>General</c:formatCode>
                <c:ptCount val="129290"/>
                <c:pt idx="0">
                  <c:v>9782809.7699999996</c:v>
                </c:pt>
                <c:pt idx="1">
                  <c:v>9782808.5577309206</c:v>
                </c:pt>
                <c:pt idx="2">
                  <c:v>9782807.3454618305</c:v>
                </c:pt>
                <c:pt idx="3">
                  <c:v>9782806.1331927404</c:v>
                </c:pt>
                <c:pt idx="4">
                  <c:v>9782804.9209236596</c:v>
                </c:pt>
                <c:pt idx="5">
                  <c:v>9782803.7086545695</c:v>
                </c:pt>
                <c:pt idx="6">
                  <c:v>9782802.4963854905</c:v>
                </c:pt>
                <c:pt idx="7">
                  <c:v>9782801.2841164004</c:v>
                </c:pt>
                <c:pt idx="8">
                  <c:v>9782800.0718473196</c:v>
                </c:pt>
                <c:pt idx="9">
                  <c:v>9782798.8595782295</c:v>
                </c:pt>
                <c:pt idx="10">
                  <c:v>9782797.6473091505</c:v>
                </c:pt>
                <c:pt idx="11">
                  <c:v>9782796.4350400604</c:v>
                </c:pt>
                <c:pt idx="12">
                  <c:v>9782795.2227709796</c:v>
                </c:pt>
                <c:pt idx="13">
                  <c:v>9782794.0105018895</c:v>
                </c:pt>
                <c:pt idx="14">
                  <c:v>9782792.7982328106</c:v>
                </c:pt>
                <c:pt idx="15">
                  <c:v>9782791.5859637205</c:v>
                </c:pt>
                <c:pt idx="16">
                  <c:v>9782790.3736946303</c:v>
                </c:pt>
                <c:pt idx="17">
                  <c:v>9782789.1614255495</c:v>
                </c:pt>
                <c:pt idx="18">
                  <c:v>9782787.9491564706</c:v>
                </c:pt>
                <c:pt idx="19">
                  <c:v>9782786.7368873805</c:v>
                </c:pt>
                <c:pt idx="20">
                  <c:v>9782785.5246182904</c:v>
                </c:pt>
                <c:pt idx="21">
                  <c:v>9782784.3123492096</c:v>
                </c:pt>
                <c:pt idx="22">
                  <c:v>9782783.1000801194</c:v>
                </c:pt>
                <c:pt idx="23">
                  <c:v>9782781.8878110405</c:v>
                </c:pt>
                <c:pt idx="24">
                  <c:v>9782780.6755419504</c:v>
                </c:pt>
                <c:pt idx="25">
                  <c:v>9782779.4632728696</c:v>
                </c:pt>
                <c:pt idx="26">
                  <c:v>9782778.2510037795</c:v>
                </c:pt>
                <c:pt idx="27">
                  <c:v>9782777.0387347005</c:v>
                </c:pt>
                <c:pt idx="28">
                  <c:v>9782775.8264656104</c:v>
                </c:pt>
                <c:pt idx="29">
                  <c:v>9782774.6141965296</c:v>
                </c:pt>
                <c:pt idx="30">
                  <c:v>9782773.4019274395</c:v>
                </c:pt>
                <c:pt idx="31">
                  <c:v>9782772.1896583606</c:v>
                </c:pt>
                <c:pt idx="32">
                  <c:v>9782770.9773892704</c:v>
                </c:pt>
                <c:pt idx="33">
                  <c:v>9782769.7651201803</c:v>
                </c:pt>
                <c:pt idx="34">
                  <c:v>9782768.5528510995</c:v>
                </c:pt>
                <c:pt idx="35">
                  <c:v>9782767.3405820094</c:v>
                </c:pt>
                <c:pt idx="36">
                  <c:v>9782766.1283129305</c:v>
                </c:pt>
                <c:pt idx="37">
                  <c:v>9782764.9160438403</c:v>
                </c:pt>
                <c:pt idx="38">
                  <c:v>9782763.7037747595</c:v>
                </c:pt>
                <c:pt idx="39">
                  <c:v>9782762.4915056694</c:v>
                </c:pt>
                <c:pt idx="40">
                  <c:v>9782761.2792365905</c:v>
                </c:pt>
                <c:pt idx="41">
                  <c:v>9782760.0669675004</c:v>
                </c:pt>
                <c:pt idx="42">
                  <c:v>9782758.8546984196</c:v>
                </c:pt>
                <c:pt idx="43">
                  <c:v>9782757.6424293295</c:v>
                </c:pt>
                <c:pt idx="44">
                  <c:v>9782756.4301602505</c:v>
                </c:pt>
                <c:pt idx="45">
                  <c:v>9782755.2178911604</c:v>
                </c:pt>
                <c:pt idx="46">
                  <c:v>9782754.0056220796</c:v>
                </c:pt>
                <c:pt idx="47">
                  <c:v>9782752.7933529895</c:v>
                </c:pt>
                <c:pt idx="48">
                  <c:v>9782751.5810839105</c:v>
                </c:pt>
                <c:pt idx="49">
                  <c:v>9782750.3688148204</c:v>
                </c:pt>
                <c:pt idx="50">
                  <c:v>9782749.1565457303</c:v>
                </c:pt>
                <c:pt idx="51">
                  <c:v>9782747.9442766495</c:v>
                </c:pt>
                <c:pt idx="52">
                  <c:v>9782746.7320075594</c:v>
                </c:pt>
                <c:pt idx="53">
                  <c:v>9782745.5197384804</c:v>
                </c:pt>
                <c:pt idx="54">
                  <c:v>9782744.3074693903</c:v>
                </c:pt>
                <c:pt idx="55">
                  <c:v>9782743.0952003095</c:v>
                </c:pt>
                <c:pt idx="56">
                  <c:v>9782741.8829312194</c:v>
                </c:pt>
                <c:pt idx="57">
                  <c:v>9782740.6706621405</c:v>
                </c:pt>
                <c:pt idx="58">
                  <c:v>9782739.4583930504</c:v>
                </c:pt>
                <c:pt idx="59">
                  <c:v>9782738.2461239696</c:v>
                </c:pt>
                <c:pt idx="60">
                  <c:v>9782737.0338548794</c:v>
                </c:pt>
                <c:pt idx="61">
                  <c:v>9782735.8215858005</c:v>
                </c:pt>
                <c:pt idx="62">
                  <c:v>9782734.6093167104</c:v>
                </c:pt>
                <c:pt idx="63">
                  <c:v>9782733.3970476296</c:v>
                </c:pt>
                <c:pt idx="64">
                  <c:v>9782732.1847785395</c:v>
                </c:pt>
                <c:pt idx="65">
                  <c:v>9782730.9725094493</c:v>
                </c:pt>
                <c:pt idx="66">
                  <c:v>9782729.7602403704</c:v>
                </c:pt>
                <c:pt idx="67">
                  <c:v>9782728.5479712803</c:v>
                </c:pt>
                <c:pt idx="68">
                  <c:v>9782727.3357021995</c:v>
                </c:pt>
                <c:pt idx="69">
                  <c:v>9782726.1234331094</c:v>
                </c:pt>
                <c:pt idx="70">
                  <c:v>9782724.9111640304</c:v>
                </c:pt>
                <c:pt idx="71">
                  <c:v>9782723.6988949403</c:v>
                </c:pt>
                <c:pt idx="72">
                  <c:v>9782722.4866258595</c:v>
                </c:pt>
                <c:pt idx="73">
                  <c:v>9782721.2743567694</c:v>
                </c:pt>
                <c:pt idx="74">
                  <c:v>9782720.0620876905</c:v>
                </c:pt>
                <c:pt idx="75">
                  <c:v>9782718.8498186003</c:v>
                </c:pt>
                <c:pt idx="76">
                  <c:v>9782717.6375495195</c:v>
                </c:pt>
                <c:pt idx="77">
                  <c:v>9782716.4252804294</c:v>
                </c:pt>
                <c:pt idx="78">
                  <c:v>9782715.2130113505</c:v>
                </c:pt>
                <c:pt idx="79">
                  <c:v>9782714.0007422604</c:v>
                </c:pt>
                <c:pt idx="80">
                  <c:v>9782712.7884731796</c:v>
                </c:pt>
                <c:pt idx="81">
                  <c:v>9782711.5762040894</c:v>
                </c:pt>
                <c:pt idx="82">
                  <c:v>9782710.3639349993</c:v>
                </c:pt>
                <c:pt idx="83">
                  <c:v>9782709.1516659204</c:v>
                </c:pt>
                <c:pt idx="84">
                  <c:v>9782707.9393968303</c:v>
                </c:pt>
                <c:pt idx="85">
                  <c:v>9782706.7271277495</c:v>
                </c:pt>
                <c:pt idx="86">
                  <c:v>9782705.5148586594</c:v>
                </c:pt>
                <c:pt idx="87">
                  <c:v>9782704.3025895804</c:v>
                </c:pt>
                <c:pt idx="88">
                  <c:v>9782703.0903204903</c:v>
                </c:pt>
                <c:pt idx="89">
                  <c:v>9782701.8780514095</c:v>
                </c:pt>
                <c:pt idx="90">
                  <c:v>9782700.6657823194</c:v>
                </c:pt>
                <c:pt idx="91">
                  <c:v>9782699.4535132404</c:v>
                </c:pt>
                <c:pt idx="92">
                  <c:v>9782698.2412441503</c:v>
                </c:pt>
                <c:pt idx="93">
                  <c:v>9782697.0289750695</c:v>
                </c:pt>
                <c:pt idx="94">
                  <c:v>9782695.8167059794</c:v>
                </c:pt>
                <c:pt idx="95">
                  <c:v>9782694.6044369005</c:v>
                </c:pt>
                <c:pt idx="96">
                  <c:v>9782693.3921678104</c:v>
                </c:pt>
                <c:pt idx="97">
                  <c:v>9782692.1798987295</c:v>
                </c:pt>
                <c:pt idx="98">
                  <c:v>9782690.9676296394</c:v>
                </c:pt>
                <c:pt idx="99">
                  <c:v>9782689.7553605493</c:v>
                </c:pt>
                <c:pt idx="100">
                  <c:v>9782688.5430914704</c:v>
                </c:pt>
                <c:pt idx="101">
                  <c:v>9782687.3308223803</c:v>
                </c:pt>
                <c:pt idx="102">
                  <c:v>9782686.1185532995</c:v>
                </c:pt>
                <c:pt idx="103">
                  <c:v>9782684.9062842093</c:v>
                </c:pt>
                <c:pt idx="104">
                  <c:v>9782683.6940151304</c:v>
                </c:pt>
                <c:pt idx="105">
                  <c:v>9782682.4817460403</c:v>
                </c:pt>
                <c:pt idx="106">
                  <c:v>9782681.2694769595</c:v>
                </c:pt>
                <c:pt idx="107">
                  <c:v>9782680.0572078694</c:v>
                </c:pt>
                <c:pt idx="108">
                  <c:v>9782678.8449387904</c:v>
                </c:pt>
                <c:pt idx="109">
                  <c:v>9782677.6326697003</c:v>
                </c:pt>
                <c:pt idx="110">
                  <c:v>9782676.4204006195</c:v>
                </c:pt>
                <c:pt idx="111">
                  <c:v>9782675.2081315294</c:v>
                </c:pt>
                <c:pt idx="112">
                  <c:v>9782673.9958624393</c:v>
                </c:pt>
                <c:pt idx="113">
                  <c:v>9782672.7835933603</c:v>
                </c:pt>
                <c:pt idx="114">
                  <c:v>9782671.5713242795</c:v>
                </c:pt>
                <c:pt idx="115">
                  <c:v>9782670.3590551894</c:v>
                </c:pt>
                <c:pt idx="116">
                  <c:v>9782669.1467860993</c:v>
                </c:pt>
                <c:pt idx="117">
                  <c:v>9782667.9345170204</c:v>
                </c:pt>
                <c:pt idx="118">
                  <c:v>9782666.7222479302</c:v>
                </c:pt>
                <c:pt idx="119">
                  <c:v>9782665.5099788494</c:v>
                </c:pt>
                <c:pt idx="120">
                  <c:v>9782664.2977097593</c:v>
                </c:pt>
                <c:pt idx="121">
                  <c:v>9782663.0854406804</c:v>
                </c:pt>
                <c:pt idx="122">
                  <c:v>9782661.8731715903</c:v>
                </c:pt>
                <c:pt idx="123">
                  <c:v>9782660.6609025095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989-4AFA-8892-5895DC9B8FF5}"/>
            </c:ext>
          </c:extLst>
        </c:ser>
        <c:ser>
          <c:idx val="20"/>
          <c:order val="22"/>
          <c:tx>
            <c:v>PC1_iEPCI</c:v>
          </c:tx>
          <c:spPr>
            <a:ln w="31750" cap="rnd">
              <a:noFill/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651787553272417E-2"/>
                  <c:y val="-4.02179432512154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5A-4492-BD9C-C4DCDA5345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FL6new2!$V$7</c:f>
              <c:numCache>
                <c:formatCode>0.000</c:formatCode>
                <c:ptCount val="1"/>
                <c:pt idx="0">
                  <c:v>1504706.9</c:v>
                </c:pt>
              </c:numCache>
            </c:numRef>
          </c:xVal>
          <c:yVal>
            <c:numRef>
              <c:f>FL6new2!$W$7</c:f>
              <c:numCache>
                <c:formatCode>0.000</c:formatCode>
                <c:ptCount val="1"/>
                <c:pt idx="0">
                  <c:v>9778788.5800000001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989-4AFA-8892-5895DC9B8FF5}"/>
            </c:ext>
          </c:extLst>
        </c:ser>
        <c:ser>
          <c:idx val="23"/>
          <c:order val="23"/>
          <c:tx>
            <c:v>PT1_iEPCI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9.130103617090643E-3"/>
                  <c:y val="-2.010897162560768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5A-4492-BD9C-C4DCDA5345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FL6new2!$V$9</c:f>
              <c:numCache>
                <c:formatCode>0.000</c:formatCode>
                <c:ptCount val="1"/>
                <c:pt idx="0">
                  <c:v>1505346.89</c:v>
                </c:pt>
              </c:numCache>
            </c:numRef>
          </c:xVal>
          <c:yVal>
            <c:numRef>
              <c:f>FL6new2!$W$9</c:f>
              <c:numCache>
                <c:formatCode>0.000</c:formatCode>
                <c:ptCount val="1"/>
                <c:pt idx="0">
                  <c:v>9778448.4299999997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989-4AFA-8892-5895DC9B8FF5}"/>
            </c:ext>
          </c:extLst>
        </c:ser>
        <c:ser>
          <c:idx val="24"/>
          <c:order val="24"/>
          <c:tx>
            <c:v>PC2_iEPCI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0197187472778935"/>
                  <c:y val="4.208411915341546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FL6new2!$V$15</c:f>
              <c:numCache>
                <c:formatCode>0.000</c:formatCode>
                <c:ptCount val="1"/>
                <c:pt idx="0">
                  <c:v>1518749.85</c:v>
                </c:pt>
              </c:numCache>
            </c:numRef>
          </c:xVal>
          <c:yVal>
            <c:numRef>
              <c:f>FL6new2!$W$15</c:f>
              <c:numCache>
                <c:formatCode>0.000</c:formatCode>
                <c:ptCount val="1"/>
                <c:pt idx="0">
                  <c:v>9770025.5700000003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989-4AFA-8892-5895DC9B8FF5}"/>
            </c:ext>
          </c:extLst>
        </c:ser>
        <c:ser>
          <c:idx val="25"/>
          <c:order val="25"/>
          <c:tx>
            <c:v>PT2_iEPCI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202941474957456"/>
                  <c:y val="7.099021168096911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FL6new2!$V$17</c:f>
              <c:numCache>
                <c:formatCode>0.000</c:formatCode>
                <c:ptCount val="1"/>
                <c:pt idx="0">
                  <c:v>1520040.11</c:v>
                </c:pt>
              </c:numCache>
            </c:numRef>
          </c:xVal>
          <c:yVal>
            <c:numRef>
              <c:f>FL6new2!$W$17</c:f>
              <c:numCache>
                <c:formatCode>0.000</c:formatCode>
                <c:ptCount val="1"/>
                <c:pt idx="0">
                  <c:v>9768856.7599999998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989-4AFA-8892-5895DC9B8FF5}"/>
            </c:ext>
          </c:extLst>
        </c:ser>
        <c:ser>
          <c:idx val="26"/>
          <c:order val="26"/>
          <c:tx>
            <c:v>Xing_iEPCI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FL6new2!#REF!</c:f>
            </c:numRef>
          </c:xVal>
          <c:yVal>
            <c:numRef>
              <c:f>FL6new2!#REF!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989-4AFA-8892-5895DC9B8FF5}"/>
            </c:ext>
          </c:extLst>
        </c:ser>
        <c:ser>
          <c:idx val="27"/>
          <c:order val="27"/>
          <c:tx>
            <c:v>PC3_iEPCI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1918117348670633E-2"/>
                  <c:y val="1.317818496422114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FL6new2!$V$19</c:f>
              <c:numCache>
                <c:formatCode>0.000</c:formatCode>
                <c:ptCount val="1"/>
                <c:pt idx="0">
                  <c:v>1522316.92</c:v>
                </c:pt>
              </c:numCache>
            </c:numRef>
          </c:xVal>
          <c:yVal>
            <c:numRef>
              <c:f>FL6new2!$W$19</c:f>
              <c:numCache>
                <c:formatCode>0.000</c:formatCode>
                <c:ptCount val="1"/>
                <c:pt idx="0">
                  <c:v>9765921.6600000001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989-4AFA-8892-5895DC9B8FF5}"/>
            </c:ext>
          </c:extLst>
        </c:ser>
        <c:ser>
          <c:idx val="28"/>
          <c:order val="28"/>
          <c:tx>
            <c:v>PT3_iEPCI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4737306430121104E-2"/>
                  <c:y val="6.6065097016287794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FL6new2!$V$21</c:f>
              <c:numCache>
                <c:formatCode>0.000</c:formatCode>
                <c:ptCount val="1"/>
                <c:pt idx="0">
                  <c:v>1523955.47</c:v>
                </c:pt>
              </c:numCache>
            </c:numRef>
          </c:xVal>
          <c:yVal>
            <c:numRef>
              <c:f>FL6new2!$W$21</c:f>
              <c:numCache>
                <c:formatCode>0.000</c:formatCode>
                <c:ptCount val="1"/>
                <c:pt idx="0">
                  <c:v>9764553.0099999998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989-4AFA-8892-5895DC9B8FF5}"/>
            </c:ext>
          </c:extLst>
        </c:ser>
        <c:ser>
          <c:idx val="29"/>
          <c:order val="29"/>
          <c:tx>
            <c:v>PC4_iEPCI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FL6new2!#REF!</c:f>
            </c:numRef>
          </c:xVal>
          <c:yVal>
            <c:numRef>
              <c:f>FL6new2!#REF!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989-4AFA-8892-5895DC9B8FF5}"/>
            </c:ext>
          </c:extLst>
        </c:ser>
        <c:ser>
          <c:idx val="30"/>
          <c:order val="30"/>
          <c:tx>
            <c:v>PT4_iEPCI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FL6new2!#REF!</c:f>
            </c:numRef>
          </c:xVal>
          <c:yVal>
            <c:numRef>
              <c:f>FL6new2!#REF!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989-4AFA-8892-5895DC9B8FF5}"/>
            </c:ext>
          </c:extLst>
        </c:ser>
        <c:ser>
          <c:idx val="31"/>
          <c:order val="31"/>
          <c:tx>
            <c:v>ERP_iEPCI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0525237367716843E-2"/>
                  <c:y val="1.666099551443261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FL6new2!$V$23</c:f>
              <c:numCache>
                <c:formatCode>0.000</c:formatCode>
                <c:ptCount val="1"/>
                <c:pt idx="0">
                  <c:v>1528467.57</c:v>
                </c:pt>
              </c:numCache>
            </c:numRef>
          </c:xVal>
          <c:yVal>
            <c:numRef>
              <c:f>FL6new2!$W$23</c:f>
              <c:numCache>
                <c:formatCode>0.000</c:formatCode>
                <c:ptCount val="1"/>
                <c:pt idx="0">
                  <c:v>9762199.75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989-4AFA-8892-5895DC9B8FF5}"/>
            </c:ext>
          </c:extLst>
        </c:ser>
        <c:ser>
          <c:idx val="32"/>
          <c:order val="32"/>
          <c:tx>
            <c:v>DBM1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433678723635477E-3"/>
                  <c:y val="-5.630512055170153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FL6new2!$V$5</c:f>
              <c:numCache>
                <c:formatCode>0.000</c:formatCode>
                <c:ptCount val="1"/>
                <c:pt idx="0">
                  <c:v>1498308.6839999999</c:v>
                </c:pt>
              </c:numCache>
            </c:numRef>
          </c:xVal>
          <c:yVal>
            <c:numRef>
              <c:f>FL6new2!$W$5</c:f>
              <c:numCache>
                <c:formatCode>General</c:formatCode>
                <c:ptCount val="1"/>
                <c:pt idx="0">
                  <c:v>9781615.0850000009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989-4AFA-8892-5895DC9B8FF5}"/>
            </c:ext>
          </c:extLst>
        </c:ser>
        <c:ser>
          <c:idx val="33"/>
          <c:order val="33"/>
          <c:tx>
            <c:v>DBM2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9.1301036170905875E-3"/>
                  <c:y val="-4.423973757633692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FL6new2!$V$6</c:f>
              <c:numCache>
                <c:formatCode>General</c:formatCode>
                <c:ptCount val="1"/>
                <c:pt idx="0">
                  <c:v>1502899.7420000001</c:v>
                </c:pt>
              </c:numCache>
            </c:numRef>
          </c:xVal>
          <c:yVal>
            <c:numRef>
              <c:f>FL6new2!$W$6</c:f>
              <c:numCache>
                <c:formatCode>General</c:formatCode>
                <c:ptCount val="1"/>
                <c:pt idx="0">
                  <c:v>9779586.9210000001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989-4AFA-8892-5895DC9B8FF5}"/>
            </c:ext>
          </c:extLst>
        </c:ser>
        <c:ser>
          <c:idx val="34"/>
          <c:order val="34"/>
          <c:tx>
            <c:v>DBM3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4346942978908381E-2"/>
                  <c:y val="-2.010897162560771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FL6new2!$V$10</c:f>
              <c:numCache>
                <c:formatCode>General</c:formatCode>
                <c:ptCount val="1"/>
                <c:pt idx="0">
                  <c:v>1506804.7720000001</c:v>
                </c:pt>
              </c:numCache>
            </c:numRef>
          </c:xVal>
          <c:yVal>
            <c:numRef>
              <c:f>FL6new2!$W$10</c:f>
              <c:numCache>
                <c:formatCode>General</c:formatCode>
                <c:ptCount val="1"/>
                <c:pt idx="0">
                  <c:v>9777532.2530000005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989-4AFA-8892-5895DC9B8FF5}"/>
            </c:ext>
          </c:extLst>
        </c:ser>
        <c:ser>
          <c:idx val="35"/>
          <c:order val="35"/>
          <c:tx>
            <c:v>DBM4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FL6new2!$V$11</c:f>
              <c:numCache>
                <c:formatCode>General</c:formatCode>
                <c:ptCount val="1"/>
                <c:pt idx="0">
                  <c:v>1510342.9720000001</c:v>
                </c:pt>
              </c:numCache>
            </c:numRef>
          </c:xVal>
          <c:yVal>
            <c:numRef>
              <c:f>FL6new2!$W$11</c:f>
              <c:numCache>
                <c:formatCode>General</c:formatCode>
                <c:ptCount val="1"/>
                <c:pt idx="0">
                  <c:v>9775308.7310000006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989-4AFA-8892-5895DC9B8FF5}"/>
            </c:ext>
          </c:extLst>
        </c:ser>
        <c:ser>
          <c:idx val="36"/>
          <c:order val="36"/>
          <c:tx>
            <c:v>DBM5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FL6new2!$V$12</c:f>
              <c:numCache>
                <c:formatCode>General</c:formatCode>
                <c:ptCount val="1"/>
                <c:pt idx="0">
                  <c:v>1514997.531</c:v>
                </c:pt>
              </c:numCache>
            </c:numRef>
          </c:xVal>
          <c:yVal>
            <c:numRef>
              <c:f>FL6new2!$W$12</c:f>
              <c:numCache>
                <c:formatCode>General</c:formatCode>
                <c:ptCount val="1"/>
                <c:pt idx="0">
                  <c:v>9772383.6520000007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A989-4AFA-8892-5895DC9B8FF5}"/>
            </c:ext>
          </c:extLst>
        </c:ser>
        <c:ser>
          <c:idx val="37"/>
          <c:order val="37"/>
          <c:tx>
            <c:v>DBM6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FL6new2!$V$14</c:f>
              <c:numCache>
                <c:formatCode>General</c:formatCode>
                <c:ptCount val="1"/>
                <c:pt idx="0">
                  <c:v>1518424</c:v>
                </c:pt>
              </c:numCache>
            </c:numRef>
          </c:xVal>
          <c:yVal>
            <c:numRef>
              <c:f>FL6new2!$W$14</c:f>
              <c:numCache>
                <c:formatCode>General</c:formatCode>
                <c:ptCount val="1"/>
                <c:pt idx="0">
                  <c:v>9770230.3450000007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A989-4AFA-8892-5895DC9B8FF5}"/>
            </c:ext>
          </c:extLst>
        </c:ser>
        <c:ser>
          <c:idx val="38"/>
          <c:order val="38"/>
          <c:tx>
            <c:v>DBM7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5650518085453215E-3"/>
                  <c:y val="-3.217435460097229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FL6new2!$V$18</c:f>
              <c:numCache>
                <c:formatCode>General</c:formatCode>
                <c:ptCount val="1"/>
                <c:pt idx="0">
                  <c:v>1521178.517</c:v>
                </c:pt>
              </c:numCache>
            </c:numRef>
          </c:xVal>
          <c:yVal>
            <c:numRef>
              <c:f>FL6new2!$W$18</c:f>
              <c:numCache>
                <c:formatCode>General</c:formatCode>
                <c:ptCount val="1"/>
                <c:pt idx="0">
                  <c:v>9767389.2070000004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A989-4AFA-8892-5895DC9B8FF5}"/>
            </c:ext>
          </c:extLst>
        </c:ser>
        <c:ser>
          <c:idx val="39"/>
          <c:order val="39"/>
          <c:tx>
            <c:v>DBM8</c:v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9.130103617090643E-3"/>
                  <c:y val="-0.11059934394084225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FL6new2!$V$22</c:f>
              <c:numCache>
                <c:formatCode>0.000</c:formatCode>
                <c:ptCount val="1"/>
                <c:pt idx="0">
                  <c:v>1526421.5989999999</c:v>
                </c:pt>
              </c:numCache>
            </c:numRef>
          </c:xVal>
          <c:yVal>
            <c:numRef>
              <c:f>FL6new2!$W$22</c:f>
              <c:numCache>
                <c:formatCode>0.000</c:formatCode>
                <c:ptCount val="1"/>
                <c:pt idx="0">
                  <c:v>9763266.8159999996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989-4AFA-8892-5895DC9B8FF5}"/>
            </c:ext>
          </c:extLst>
        </c:ser>
        <c:ser>
          <c:idx val="56"/>
          <c:order val="56"/>
          <c:tx>
            <c:v>PL6_iEPCIold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4-A989-4AFA-8892-5895DC9B8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138320"/>
        <c:axId val="915399576"/>
        <c:extLst/>
      </c:scatterChart>
      <c:scatterChart>
        <c:scatterStyle val="lineMarker"/>
        <c:varyColors val="0"/>
        <c:ser>
          <c:idx val="17"/>
          <c:order val="15"/>
          <c:tx>
            <c:v>Seabed Profile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5-A989-4AFA-8892-5895DC9B8FF5}"/>
            </c:ext>
          </c:extLst>
        </c:ser>
        <c:ser>
          <c:idx val="21"/>
          <c:order val="19"/>
          <c:tx>
            <c:v>Seabed Profile_FL6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FL6new2!$A$1:$A$129290</c:f>
              <c:numCache>
                <c:formatCode>General</c:formatCode>
                <c:ptCount val="129290"/>
                <c:pt idx="0">
                  <c:v>1495604.33</c:v>
                </c:pt>
                <c:pt idx="1">
                  <c:v>1495607.0741580999</c:v>
                </c:pt>
                <c:pt idx="2">
                  <c:v>1495609.8183162</c:v>
                </c:pt>
                <c:pt idx="3">
                  <c:v>1495612.5624742899</c:v>
                </c:pt>
                <c:pt idx="4">
                  <c:v>1495615.30663239</c:v>
                </c:pt>
                <c:pt idx="5">
                  <c:v>1495618.0507904899</c:v>
                </c:pt>
                <c:pt idx="6">
                  <c:v>1495620.79494859</c:v>
                </c:pt>
                <c:pt idx="7">
                  <c:v>1495623.5391066801</c:v>
                </c:pt>
                <c:pt idx="8">
                  <c:v>1495626.28326478</c:v>
                </c:pt>
                <c:pt idx="9">
                  <c:v>1495629.0274228801</c:v>
                </c:pt>
                <c:pt idx="10">
                  <c:v>1495631.7715809799</c:v>
                </c:pt>
                <c:pt idx="11">
                  <c:v>1495634.51573907</c:v>
                </c:pt>
                <c:pt idx="12">
                  <c:v>1495637.2598971699</c:v>
                </c:pt>
                <c:pt idx="13">
                  <c:v>1495640.00405527</c:v>
                </c:pt>
                <c:pt idx="14">
                  <c:v>1495642.7482133701</c:v>
                </c:pt>
                <c:pt idx="15">
                  <c:v>1495645.49237146</c:v>
                </c:pt>
                <c:pt idx="16">
                  <c:v>1495648.2365295601</c:v>
                </c:pt>
                <c:pt idx="17">
                  <c:v>1495650.9806876599</c:v>
                </c:pt>
                <c:pt idx="18">
                  <c:v>1495653.72484576</c:v>
                </c:pt>
                <c:pt idx="19">
                  <c:v>1495656.4690038599</c:v>
                </c:pt>
                <c:pt idx="20">
                  <c:v>1495659.21316195</c:v>
                </c:pt>
                <c:pt idx="21">
                  <c:v>1495661.9573200501</c:v>
                </c:pt>
                <c:pt idx="22">
                  <c:v>1495664.70147815</c:v>
                </c:pt>
                <c:pt idx="23">
                  <c:v>1495667.4456362501</c:v>
                </c:pt>
                <c:pt idx="24">
                  <c:v>1495670.1897943399</c:v>
                </c:pt>
                <c:pt idx="25">
                  <c:v>1495672.93395244</c:v>
                </c:pt>
                <c:pt idx="26">
                  <c:v>1495675.6781105399</c:v>
                </c:pt>
                <c:pt idx="27">
                  <c:v>1495678.42226864</c:v>
                </c:pt>
                <c:pt idx="28">
                  <c:v>1495681.1664267301</c:v>
                </c:pt>
                <c:pt idx="29">
                  <c:v>1495683.91058483</c:v>
                </c:pt>
                <c:pt idx="30">
                  <c:v>1495686.6547429301</c:v>
                </c:pt>
                <c:pt idx="31">
                  <c:v>1495689.39890103</c:v>
                </c:pt>
                <c:pt idx="32">
                  <c:v>1495692.14305912</c:v>
                </c:pt>
                <c:pt idx="33">
                  <c:v>1495694.8872172199</c:v>
                </c:pt>
                <c:pt idx="34">
                  <c:v>1495697.63137532</c:v>
                </c:pt>
                <c:pt idx="35">
                  <c:v>1495700.3755334199</c:v>
                </c:pt>
                <c:pt idx="36">
                  <c:v>1495703.11969151</c:v>
                </c:pt>
                <c:pt idx="37">
                  <c:v>1495705.8638496101</c:v>
                </c:pt>
                <c:pt idx="38">
                  <c:v>1495708.60800771</c:v>
                </c:pt>
                <c:pt idx="39">
                  <c:v>1495711.3521658101</c:v>
                </c:pt>
                <c:pt idx="40">
                  <c:v>1495714.0963239099</c:v>
                </c:pt>
                <c:pt idx="41">
                  <c:v>1495716.840482</c:v>
                </c:pt>
                <c:pt idx="42">
                  <c:v>1495719.5846400999</c:v>
                </c:pt>
                <c:pt idx="43">
                  <c:v>1495722.3287982</c:v>
                </c:pt>
                <c:pt idx="44">
                  <c:v>1495725.0729563001</c:v>
                </c:pt>
                <c:pt idx="45">
                  <c:v>1495727.81711439</c:v>
                </c:pt>
                <c:pt idx="46">
                  <c:v>1495730.5612724901</c:v>
                </c:pt>
                <c:pt idx="47">
                  <c:v>1495733.3054305899</c:v>
                </c:pt>
                <c:pt idx="48">
                  <c:v>1495736.04958869</c:v>
                </c:pt>
                <c:pt idx="49">
                  <c:v>1495738.7937467799</c:v>
                </c:pt>
                <c:pt idx="50">
                  <c:v>1495741.53790488</c:v>
                </c:pt>
                <c:pt idx="51">
                  <c:v>1495744.2820629801</c:v>
                </c:pt>
                <c:pt idx="52">
                  <c:v>1495747.02622108</c:v>
                </c:pt>
                <c:pt idx="53">
                  <c:v>1495749.7703791701</c:v>
                </c:pt>
                <c:pt idx="54">
                  <c:v>1495752.5145372699</c:v>
                </c:pt>
                <c:pt idx="55">
                  <c:v>1495755.2586953701</c:v>
                </c:pt>
                <c:pt idx="56">
                  <c:v>1495758.0028534699</c:v>
                </c:pt>
                <c:pt idx="57">
                  <c:v>1495760.74701157</c:v>
                </c:pt>
                <c:pt idx="58">
                  <c:v>1495763.4911696599</c:v>
                </c:pt>
                <c:pt idx="59">
                  <c:v>1495766.23532776</c:v>
                </c:pt>
                <c:pt idx="60">
                  <c:v>1495768.9794858601</c:v>
                </c:pt>
                <c:pt idx="61">
                  <c:v>1495771.72364396</c:v>
                </c:pt>
                <c:pt idx="62">
                  <c:v>1495774.4678020501</c:v>
                </c:pt>
                <c:pt idx="63">
                  <c:v>1495777.2119601499</c:v>
                </c:pt>
                <c:pt idx="64">
                  <c:v>1495779.95611825</c:v>
                </c:pt>
                <c:pt idx="65">
                  <c:v>1495782.7002763499</c:v>
                </c:pt>
                <c:pt idx="66">
                  <c:v>1495785.44443444</c:v>
                </c:pt>
                <c:pt idx="67">
                  <c:v>1495788.1885925401</c:v>
                </c:pt>
                <c:pt idx="68">
                  <c:v>1495790.93275064</c:v>
                </c:pt>
                <c:pt idx="69">
                  <c:v>1495793.6769087401</c:v>
                </c:pt>
                <c:pt idx="70">
                  <c:v>1495796.4210668299</c:v>
                </c:pt>
                <c:pt idx="71">
                  <c:v>1495799.16522493</c:v>
                </c:pt>
                <c:pt idx="72">
                  <c:v>1495801.9093830299</c:v>
                </c:pt>
                <c:pt idx="73">
                  <c:v>1495804.65354113</c:v>
                </c:pt>
                <c:pt idx="74">
                  <c:v>1495807.3976992299</c:v>
                </c:pt>
                <c:pt idx="75">
                  <c:v>1495810.14185732</c:v>
                </c:pt>
                <c:pt idx="76">
                  <c:v>1495812.8860154201</c:v>
                </c:pt>
                <c:pt idx="77">
                  <c:v>1495815.63017352</c:v>
                </c:pt>
                <c:pt idx="78">
                  <c:v>1495818.3743316201</c:v>
                </c:pt>
                <c:pt idx="79">
                  <c:v>1495821.1184897099</c:v>
                </c:pt>
                <c:pt idx="80">
                  <c:v>1495823.86264781</c:v>
                </c:pt>
                <c:pt idx="81">
                  <c:v>1495826.6068059099</c:v>
                </c:pt>
                <c:pt idx="82">
                  <c:v>1495829.35096401</c:v>
                </c:pt>
                <c:pt idx="83">
                  <c:v>1495832.0951221001</c:v>
                </c:pt>
                <c:pt idx="84">
                  <c:v>1495834.8392802</c:v>
                </c:pt>
                <c:pt idx="85">
                  <c:v>1495837.5834383001</c:v>
                </c:pt>
                <c:pt idx="86">
                  <c:v>1495840.3275963999</c:v>
                </c:pt>
                <c:pt idx="87">
                  <c:v>1495843.07175449</c:v>
                </c:pt>
                <c:pt idx="88">
                  <c:v>1495845.8159125899</c:v>
                </c:pt>
                <c:pt idx="89">
                  <c:v>1495848.56007069</c:v>
                </c:pt>
                <c:pt idx="90">
                  <c:v>1495851.3042287901</c:v>
                </c:pt>
                <c:pt idx="91">
                  <c:v>1495854.04838688</c:v>
                </c:pt>
                <c:pt idx="92">
                  <c:v>1495856.7925449801</c:v>
                </c:pt>
                <c:pt idx="93">
                  <c:v>1495859.5367030799</c:v>
                </c:pt>
                <c:pt idx="94">
                  <c:v>1495862.28086118</c:v>
                </c:pt>
                <c:pt idx="95">
                  <c:v>1495865.0250192799</c:v>
                </c:pt>
                <c:pt idx="96">
                  <c:v>1495867.76917737</c:v>
                </c:pt>
                <c:pt idx="97">
                  <c:v>1495870.5133354701</c:v>
                </c:pt>
                <c:pt idx="98">
                  <c:v>1495873.25749357</c:v>
                </c:pt>
                <c:pt idx="99">
                  <c:v>1495876.0016516701</c:v>
                </c:pt>
                <c:pt idx="100">
                  <c:v>1495878.7458097599</c:v>
                </c:pt>
                <c:pt idx="101">
                  <c:v>1495881.48996786</c:v>
                </c:pt>
                <c:pt idx="102">
                  <c:v>1495884.2341259599</c:v>
                </c:pt>
                <c:pt idx="103">
                  <c:v>1495886.97828406</c:v>
                </c:pt>
                <c:pt idx="104">
                  <c:v>1495889.7224421501</c:v>
                </c:pt>
                <c:pt idx="105">
                  <c:v>1495892.46660025</c:v>
                </c:pt>
                <c:pt idx="106">
                  <c:v>1495895.2107583501</c:v>
                </c:pt>
                <c:pt idx="107">
                  <c:v>1495897.95491645</c:v>
                </c:pt>
                <c:pt idx="108">
                  <c:v>1495900.6990745401</c:v>
                </c:pt>
                <c:pt idx="109">
                  <c:v>1495903.4432326399</c:v>
                </c:pt>
                <c:pt idx="110">
                  <c:v>1495906.18739074</c:v>
                </c:pt>
                <c:pt idx="111">
                  <c:v>1495908.9315488399</c:v>
                </c:pt>
                <c:pt idx="112">
                  <c:v>1495911.67570694</c:v>
                </c:pt>
                <c:pt idx="113">
                  <c:v>1495914.4198650301</c:v>
                </c:pt>
                <c:pt idx="114">
                  <c:v>1495917.16402313</c:v>
                </c:pt>
                <c:pt idx="115">
                  <c:v>1495919.9081812301</c:v>
                </c:pt>
                <c:pt idx="116">
                  <c:v>1495922.6523393299</c:v>
                </c:pt>
                <c:pt idx="117">
                  <c:v>1495925.39649742</c:v>
                </c:pt>
                <c:pt idx="118">
                  <c:v>1495928.1406555199</c:v>
                </c:pt>
                <c:pt idx="119">
                  <c:v>1495930.88481362</c:v>
                </c:pt>
                <c:pt idx="120">
                  <c:v>1495933.6289717201</c:v>
                </c:pt>
                <c:pt idx="121">
                  <c:v>1495936.37312981</c:v>
                </c:pt>
                <c:pt idx="122">
                  <c:v>1495939.1172879101</c:v>
                </c:pt>
                <c:pt idx="123">
                  <c:v>1495941.8614460099</c:v>
                </c:pt>
              </c:numCache>
            </c:numRef>
          </c:xVal>
          <c:yVal>
            <c:numRef>
              <c:f>FL6new2!$C$1:$C$129290</c:f>
              <c:numCache>
                <c:formatCode>General</c:formatCode>
                <c:ptCount val="129290"/>
                <c:pt idx="0">
                  <c:v>-3956.68</c:v>
                </c:pt>
                <c:pt idx="1">
                  <c:v>-3956.68</c:v>
                </c:pt>
                <c:pt idx="2">
                  <c:v>-3956.69</c:v>
                </c:pt>
                <c:pt idx="3">
                  <c:v>-3956.7</c:v>
                </c:pt>
                <c:pt idx="4">
                  <c:v>-3956.72</c:v>
                </c:pt>
                <c:pt idx="5">
                  <c:v>-3956.73</c:v>
                </c:pt>
                <c:pt idx="6">
                  <c:v>-3956.75</c:v>
                </c:pt>
                <c:pt idx="7">
                  <c:v>-3956.76</c:v>
                </c:pt>
                <c:pt idx="8">
                  <c:v>-3956.74</c:v>
                </c:pt>
                <c:pt idx="9">
                  <c:v>-3956.73</c:v>
                </c:pt>
                <c:pt idx="10">
                  <c:v>-3956.71</c:v>
                </c:pt>
                <c:pt idx="11">
                  <c:v>-3956.7</c:v>
                </c:pt>
                <c:pt idx="12">
                  <c:v>-3956.69</c:v>
                </c:pt>
                <c:pt idx="13">
                  <c:v>-3956.69</c:v>
                </c:pt>
                <c:pt idx="14">
                  <c:v>-3956.7</c:v>
                </c:pt>
                <c:pt idx="15">
                  <c:v>-3956.71</c:v>
                </c:pt>
                <c:pt idx="16">
                  <c:v>-3956.72</c:v>
                </c:pt>
                <c:pt idx="17">
                  <c:v>-3956.71</c:v>
                </c:pt>
                <c:pt idx="18">
                  <c:v>-3956.69</c:v>
                </c:pt>
                <c:pt idx="19">
                  <c:v>-3956.67</c:v>
                </c:pt>
                <c:pt idx="20">
                  <c:v>-3956.66</c:v>
                </c:pt>
                <c:pt idx="21">
                  <c:v>-3956.65</c:v>
                </c:pt>
                <c:pt idx="22">
                  <c:v>-3956.63</c:v>
                </c:pt>
                <c:pt idx="23">
                  <c:v>-3956.62</c:v>
                </c:pt>
                <c:pt idx="24">
                  <c:v>-3956.63</c:v>
                </c:pt>
                <c:pt idx="25">
                  <c:v>-3956.62</c:v>
                </c:pt>
                <c:pt idx="26">
                  <c:v>-3956.6</c:v>
                </c:pt>
                <c:pt idx="27">
                  <c:v>-3956.58</c:v>
                </c:pt>
                <c:pt idx="28">
                  <c:v>-3956.56</c:v>
                </c:pt>
                <c:pt idx="29">
                  <c:v>-3956.56</c:v>
                </c:pt>
                <c:pt idx="30">
                  <c:v>-3956.56</c:v>
                </c:pt>
                <c:pt idx="31">
                  <c:v>-3956.59</c:v>
                </c:pt>
                <c:pt idx="32">
                  <c:v>-3956.62</c:v>
                </c:pt>
                <c:pt idx="33">
                  <c:v>-3956.56</c:v>
                </c:pt>
                <c:pt idx="34">
                  <c:v>-3956.5</c:v>
                </c:pt>
                <c:pt idx="35">
                  <c:v>-3956.45</c:v>
                </c:pt>
                <c:pt idx="36">
                  <c:v>-3956.4</c:v>
                </c:pt>
                <c:pt idx="37">
                  <c:v>-3956.35</c:v>
                </c:pt>
                <c:pt idx="38">
                  <c:v>-3956.28</c:v>
                </c:pt>
                <c:pt idx="39">
                  <c:v>-3956.2</c:v>
                </c:pt>
                <c:pt idx="40">
                  <c:v>-3956.17</c:v>
                </c:pt>
                <c:pt idx="41">
                  <c:v>-3956.18</c:v>
                </c:pt>
                <c:pt idx="42">
                  <c:v>-3956.2</c:v>
                </c:pt>
                <c:pt idx="43">
                  <c:v>-3956.22</c:v>
                </c:pt>
                <c:pt idx="44">
                  <c:v>-3956.24</c:v>
                </c:pt>
                <c:pt idx="45">
                  <c:v>-3956.25</c:v>
                </c:pt>
                <c:pt idx="46">
                  <c:v>-3956.24</c:v>
                </c:pt>
                <c:pt idx="47">
                  <c:v>-3956.21</c:v>
                </c:pt>
                <c:pt idx="48">
                  <c:v>-3956.18</c:v>
                </c:pt>
                <c:pt idx="49">
                  <c:v>-3956.18</c:v>
                </c:pt>
                <c:pt idx="50">
                  <c:v>-3956.18</c:v>
                </c:pt>
                <c:pt idx="51">
                  <c:v>-3956.19</c:v>
                </c:pt>
                <c:pt idx="52">
                  <c:v>-3956.21</c:v>
                </c:pt>
                <c:pt idx="53">
                  <c:v>-3956.23</c:v>
                </c:pt>
                <c:pt idx="54">
                  <c:v>-3956.24</c:v>
                </c:pt>
                <c:pt idx="55">
                  <c:v>-3956.24</c:v>
                </c:pt>
                <c:pt idx="56">
                  <c:v>-3956.23</c:v>
                </c:pt>
                <c:pt idx="57">
                  <c:v>-3956.21</c:v>
                </c:pt>
                <c:pt idx="58">
                  <c:v>-3956.2</c:v>
                </c:pt>
                <c:pt idx="59">
                  <c:v>-3956.2</c:v>
                </c:pt>
                <c:pt idx="60">
                  <c:v>-3956.19</c:v>
                </c:pt>
                <c:pt idx="61">
                  <c:v>-3956.2</c:v>
                </c:pt>
                <c:pt idx="62">
                  <c:v>-3956.19</c:v>
                </c:pt>
                <c:pt idx="63">
                  <c:v>-3956.19</c:v>
                </c:pt>
                <c:pt idx="64">
                  <c:v>-3956.18</c:v>
                </c:pt>
                <c:pt idx="65">
                  <c:v>-3956.18</c:v>
                </c:pt>
                <c:pt idx="66">
                  <c:v>-3956.17</c:v>
                </c:pt>
                <c:pt idx="67">
                  <c:v>-3956.17</c:v>
                </c:pt>
                <c:pt idx="68">
                  <c:v>-3956.18</c:v>
                </c:pt>
                <c:pt idx="69">
                  <c:v>-3956.21</c:v>
                </c:pt>
                <c:pt idx="70">
                  <c:v>-3956.24</c:v>
                </c:pt>
                <c:pt idx="71">
                  <c:v>-3956.29</c:v>
                </c:pt>
                <c:pt idx="72">
                  <c:v>-3956.33</c:v>
                </c:pt>
                <c:pt idx="73">
                  <c:v>-3956.37</c:v>
                </c:pt>
                <c:pt idx="74">
                  <c:v>-3956.39</c:v>
                </c:pt>
                <c:pt idx="75">
                  <c:v>-3956.42</c:v>
                </c:pt>
                <c:pt idx="76">
                  <c:v>-3956.38</c:v>
                </c:pt>
                <c:pt idx="77">
                  <c:v>-3956.34</c:v>
                </c:pt>
                <c:pt idx="78">
                  <c:v>-3956.29</c:v>
                </c:pt>
                <c:pt idx="79">
                  <c:v>-3956.26</c:v>
                </c:pt>
                <c:pt idx="80">
                  <c:v>-3956.27</c:v>
                </c:pt>
                <c:pt idx="81">
                  <c:v>-3956.28</c:v>
                </c:pt>
                <c:pt idx="82">
                  <c:v>-3956.3</c:v>
                </c:pt>
                <c:pt idx="83">
                  <c:v>-3956.31</c:v>
                </c:pt>
                <c:pt idx="84">
                  <c:v>-3956.32</c:v>
                </c:pt>
                <c:pt idx="85">
                  <c:v>-3956.34</c:v>
                </c:pt>
                <c:pt idx="86">
                  <c:v>-3956.35</c:v>
                </c:pt>
                <c:pt idx="87">
                  <c:v>-3956.4</c:v>
                </c:pt>
                <c:pt idx="88">
                  <c:v>-3956.46</c:v>
                </c:pt>
                <c:pt idx="89">
                  <c:v>-3956.52</c:v>
                </c:pt>
                <c:pt idx="90">
                  <c:v>-3956.56</c:v>
                </c:pt>
                <c:pt idx="91">
                  <c:v>-3956.59</c:v>
                </c:pt>
                <c:pt idx="92">
                  <c:v>-3956.61</c:v>
                </c:pt>
                <c:pt idx="93">
                  <c:v>-3956.62</c:v>
                </c:pt>
                <c:pt idx="94">
                  <c:v>-3956.65</c:v>
                </c:pt>
                <c:pt idx="95">
                  <c:v>-3956.68</c:v>
                </c:pt>
                <c:pt idx="96">
                  <c:v>-3956.72</c:v>
                </c:pt>
                <c:pt idx="97">
                  <c:v>-3956.76</c:v>
                </c:pt>
                <c:pt idx="98">
                  <c:v>-3956.78</c:v>
                </c:pt>
                <c:pt idx="99">
                  <c:v>-3956.8</c:v>
                </c:pt>
                <c:pt idx="100">
                  <c:v>-3956.81</c:v>
                </c:pt>
                <c:pt idx="101">
                  <c:v>-3956.84</c:v>
                </c:pt>
                <c:pt idx="102">
                  <c:v>-3956.88</c:v>
                </c:pt>
                <c:pt idx="103">
                  <c:v>-3956.93</c:v>
                </c:pt>
                <c:pt idx="104">
                  <c:v>-3956.99</c:v>
                </c:pt>
                <c:pt idx="105">
                  <c:v>-3957.05</c:v>
                </c:pt>
                <c:pt idx="106">
                  <c:v>-3957.09</c:v>
                </c:pt>
                <c:pt idx="107">
                  <c:v>-3957.11</c:v>
                </c:pt>
                <c:pt idx="108">
                  <c:v>-3957.13</c:v>
                </c:pt>
                <c:pt idx="109">
                  <c:v>-3957.15</c:v>
                </c:pt>
                <c:pt idx="110">
                  <c:v>-3957.17</c:v>
                </c:pt>
                <c:pt idx="111">
                  <c:v>-3957.21</c:v>
                </c:pt>
                <c:pt idx="112">
                  <c:v>-3957.23</c:v>
                </c:pt>
                <c:pt idx="113">
                  <c:v>-3957.26</c:v>
                </c:pt>
                <c:pt idx="114">
                  <c:v>-3957.29</c:v>
                </c:pt>
                <c:pt idx="115">
                  <c:v>-3957.32</c:v>
                </c:pt>
                <c:pt idx="116">
                  <c:v>-3957.36</c:v>
                </c:pt>
                <c:pt idx="117">
                  <c:v>-3957.4</c:v>
                </c:pt>
                <c:pt idx="118">
                  <c:v>-3957.45</c:v>
                </c:pt>
                <c:pt idx="119">
                  <c:v>-3957.48</c:v>
                </c:pt>
                <c:pt idx="120">
                  <c:v>-3957.49</c:v>
                </c:pt>
                <c:pt idx="121">
                  <c:v>-3957.49</c:v>
                </c:pt>
                <c:pt idx="122">
                  <c:v>-3957.51</c:v>
                </c:pt>
                <c:pt idx="123">
                  <c:v>-3957.57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A989-4AFA-8892-5895DC9B8FF5}"/>
            </c:ext>
          </c:extLst>
        </c:ser>
        <c:ser>
          <c:idx val="19"/>
          <c:order val="21"/>
          <c:tx>
            <c:v>SRP_iEPCI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FL6new2!$V$4</c:f>
              <c:numCache>
                <c:formatCode>0.000</c:formatCode>
                <c:ptCount val="1"/>
                <c:pt idx="0">
                  <c:v>1495604.33</c:v>
                </c:pt>
              </c:numCache>
            </c:numRef>
          </c:xVal>
          <c:yVal>
            <c:numRef>
              <c:f>FL6new2!$W$4</c:f>
              <c:numCache>
                <c:formatCode>0.000</c:formatCode>
                <c:ptCount val="1"/>
                <c:pt idx="0">
                  <c:v>9782809.7699999996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A989-4AFA-8892-5895DC9B8FF5}"/>
            </c:ext>
          </c:extLst>
        </c:ser>
        <c:ser>
          <c:idx val="40"/>
          <c:order val="40"/>
          <c:tx>
            <c:v>DBM1_WD</c:v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954093191998049E-2"/>
                  <c:y val="9.45121666403561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FL6new2!$V$5</c:f>
              <c:numCache>
                <c:formatCode>0.000</c:formatCode>
                <c:ptCount val="1"/>
                <c:pt idx="0">
                  <c:v>1498308.6839999999</c:v>
                </c:pt>
              </c:numCache>
            </c:numRef>
          </c:xVal>
          <c:yVal>
            <c:numRef>
              <c:f>FL6new2!$AF$5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A989-4AFA-8892-5895DC9B8FF5}"/>
            </c:ext>
          </c:extLst>
        </c:ser>
        <c:ser>
          <c:idx val="41"/>
          <c:order val="41"/>
          <c:tx>
            <c:v>DBM2_WD</c:v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3040828936725172E-2"/>
                  <c:y val="2.614166311328984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FL6new2!$V$6</c:f>
              <c:numCache>
                <c:formatCode>General</c:formatCode>
                <c:ptCount val="1"/>
                <c:pt idx="0">
                  <c:v>1502899.7420000001</c:v>
                </c:pt>
              </c:numCache>
            </c:numRef>
          </c:xVal>
          <c:yVal>
            <c:numRef>
              <c:f>FL6new2!$AF$6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A989-4AFA-8892-5895DC9B8FF5}"/>
            </c:ext>
          </c:extLst>
        </c:ser>
        <c:ser>
          <c:idx val="42"/>
          <c:order val="42"/>
          <c:tx>
            <c:v>DBM3_WD</c:v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5216839361817738E-3"/>
                  <c:y val="4.222884041377613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FL6new2!$V$10</c:f>
              <c:numCache>
                <c:formatCode>General</c:formatCode>
                <c:ptCount val="1"/>
                <c:pt idx="0">
                  <c:v>1506804.7720000001</c:v>
                </c:pt>
              </c:numCache>
            </c:numRef>
          </c:xVal>
          <c:yVal>
            <c:numRef>
              <c:f>FL6new2!$AF$10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A989-4AFA-8892-5895DC9B8FF5}"/>
            </c:ext>
          </c:extLst>
        </c:ser>
        <c:ser>
          <c:idx val="43"/>
          <c:order val="43"/>
          <c:tx>
            <c:v>DBM4_WD</c:v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0195282372417885"/>
                  <c:y val="-5.027242906401928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FL6new2!$V$11</c:f>
              <c:numCache>
                <c:formatCode>General</c:formatCode>
                <c:ptCount val="1"/>
                <c:pt idx="0">
                  <c:v>1510342.9720000001</c:v>
                </c:pt>
              </c:numCache>
            </c:numRef>
          </c:xVal>
          <c:yVal>
            <c:numRef>
              <c:f>FL6new2!$AF$11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A989-4AFA-8892-5895DC9B8FF5}"/>
            </c:ext>
          </c:extLst>
        </c:ser>
        <c:ser>
          <c:idx val="44"/>
          <c:order val="44"/>
          <c:tx>
            <c:v>DBM5_WD</c:v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8693885957816763E-2"/>
                  <c:y val="5.831601771426227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FL6new2!$V$12</c:f>
              <c:numCache>
                <c:formatCode>General</c:formatCode>
                <c:ptCount val="1"/>
                <c:pt idx="0">
                  <c:v>1514997.531</c:v>
                </c:pt>
              </c:numCache>
            </c:numRef>
          </c:xVal>
          <c:yVal>
            <c:numRef>
              <c:f>FL6new2!$AF$12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A989-4AFA-8892-5895DC9B8FF5}"/>
            </c:ext>
          </c:extLst>
        </c:ser>
        <c:ser>
          <c:idx val="45"/>
          <c:order val="45"/>
          <c:tx>
            <c:v>DBM6_WD</c:v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9.7387771915633525E-2"/>
                  <c:y val="7.239229785218766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FL6new2!$V$14</c:f>
              <c:numCache>
                <c:formatCode>General</c:formatCode>
                <c:ptCount val="1"/>
                <c:pt idx="0">
                  <c:v>1518424</c:v>
                </c:pt>
              </c:numCache>
            </c:numRef>
          </c:xVal>
          <c:yVal>
            <c:numRef>
              <c:f>FL6new2!$AF$14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A989-4AFA-8892-5895DC9B8FF5}"/>
            </c:ext>
          </c:extLst>
        </c:ser>
        <c:ser>
          <c:idx val="46"/>
          <c:order val="46"/>
          <c:tx>
            <c:v>DBM7_WD</c:v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9127564681452239E-2"/>
                  <c:y val="5.429422338914074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FL6new2!$V$18</c:f>
              <c:numCache>
                <c:formatCode>General</c:formatCode>
                <c:ptCount val="1"/>
                <c:pt idx="0">
                  <c:v>1521178.517</c:v>
                </c:pt>
              </c:numCache>
            </c:numRef>
          </c:xVal>
          <c:yVal>
            <c:numRef>
              <c:f>FL6new2!$AF$18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A989-4AFA-8892-5895DC9B8FF5}"/>
            </c:ext>
          </c:extLst>
        </c:ser>
        <c:ser>
          <c:idx val="47"/>
          <c:order val="47"/>
          <c:tx>
            <c:v>DBM8_WD</c:v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90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5650518085453215E-2"/>
                  <c:y val="4.826153190145829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FL6new2!$V$22</c:f>
              <c:numCache>
                <c:formatCode>0.000</c:formatCode>
                <c:ptCount val="1"/>
                <c:pt idx="0">
                  <c:v>1526421.5989999999</c:v>
                </c:pt>
              </c:numCache>
            </c:numRef>
          </c:xVal>
          <c:yVal>
            <c:numRef>
              <c:f>FL6new2!$AF$22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A989-4AFA-8892-5895DC9B8FF5}"/>
            </c:ext>
          </c:extLst>
        </c:ser>
        <c:ser>
          <c:idx val="48"/>
          <c:order val="48"/>
          <c:tx>
            <c:v>PC1_WD</c:v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7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954093191998049E-2"/>
                  <c:y val="-3.61961489260938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FL6new2!$V$7</c:f>
              <c:numCache>
                <c:formatCode>0.000</c:formatCode>
                <c:ptCount val="1"/>
                <c:pt idx="0">
                  <c:v>1504706.9</c:v>
                </c:pt>
              </c:numCache>
            </c:numRef>
          </c:xVal>
          <c:yVal>
            <c:numRef>
              <c:f>FL6new2!$AF$7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A989-4AFA-8892-5895DC9B8FF5}"/>
            </c:ext>
          </c:extLst>
        </c:ser>
        <c:ser>
          <c:idx val="49"/>
          <c:order val="49"/>
          <c:tx>
            <c:v>PT1_WD</c:v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911994787453758E-2"/>
                  <c:y val="-5.228332622657997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FL6new2!$V$9</c:f>
              <c:numCache>
                <c:formatCode>0.000</c:formatCode>
                <c:ptCount val="1"/>
                <c:pt idx="0">
                  <c:v>1505346.89</c:v>
                </c:pt>
              </c:numCache>
            </c:numRef>
          </c:xVal>
          <c:yVal>
            <c:numRef>
              <c:f>FL6new2!$AF$9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A989-4AFA-8892-5895DC9B8FF5}"/>
            </c:ext>
          </c:extLst>
        </c:ser>
        <c:ser>
          <c:idx val="50"/>
          <c:order val="50"/>
          <c:tx>
            <c:v>PC2_WD</c:v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456251287290698E-2"/>
                  <c:y val="8.646857799011303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FL6new2!$V$15</c:f>
              <c:numCache>
                <c:formatCode>0.000</c:formatCode>
                <c:ptCount val="1"/>
                <c:pt idx="0">
                  <c:v>1518749.85</c:v>
                </c:pt>
              </c:numCache>
            </c:numRef>
          </c:xVal>
          <c:yVal>
            <c:numRef>
              <c:f>FL6new2!$AF$15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A989-4AFA-8892-5895DC9B8FF5}"/>
            </c:ext>
          </c:extLst>
        </c:ser>
        <c:ser>
          <c:idx val="51"/>
          <c:order val="51"/>
          <c:tx>
            <c:v>PT2_WD</c:v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347704659599908E-2"/>
                  <c:y val="-4.423973757633690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FL6new2!$V$17</c:f>
              <c:numCache>
                <c:formatCode>0.000</c:formatCode>
                <c:ptCount val="1"/>
                <c:pt idx="0">
                  <c:v>1520040.11</c:v>
                </c:pt>
              </c:numCache>
            </c:numRef>
          </c:xVal>
          <c:yVal>
            <c:numRef>
              <c:f>FL6new2!$AF$17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A989-4AFA-8892-5895DC9B8FF5}"/>
            </c:ext>
          </c:extLst>
        </c:ser>
        <c:ser>
          <c:idx val="52"/>
          <c:order val="52"/>
          <c:tx>
            <c:v>PC3_WD</c:v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216839361817851E-2"/>
                  <c:y val="-3.081240344146387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FL6new2!$V$19</c:f>
              <c:numCache>
                <c:formatCode>0.000</c:formatCode>
                <c:ptCount val="1"/>
                <c:pt idx="0">
                  <c:v>1522316.92</c:v>
                </c:pt>
              </c:numCache>
            </c:numRef>
          </c:xVal>
          <c:yVal>
            <c:numRef>
              <c:f>FL6new2!$AF$19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A989-4AFA-8892-5895DC9B8FF5}"/>
            </c:ext>
          </c:extLst>
        </c:ser>
        <c:ser>
          <c:idx val="53"/>
          <c:order val="53"/>
          <c:tx>
            <c:v>PT3_WD</c:v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9.130103617090643E-2"/>
                  <c:y val="5.228332622657997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A989-4AFA-8892-5895DC9B8F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FL6new2!$V$21</c:f>
              <c:numCache>
                <c:formatCode>0.000</c:formatCode>
                <c:ptCount val="1"/>
                <c:pt idx="0">
                  <c:v>1523955.47</c:v>
                </c:pt>
              </c:numCache>
            </c:numRef>
          </c:xVal>
          <c:yVal>
            <c:numRef>
              <c:f>FL6new2!$AF$21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A989-4AFA-8892-5895DC9B8FF5}"/>
            </c:ext>
          </c:extLst>
        </c:ser>
        <c:ser>
          <c:idx val="54"/>
          <c:order val="54"/>
          <c:tx>
            <c:v>PC4_WD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FL6new2!#REF!</c:f>
              <c:extLst xmlns:c15="http://schemas.microsoft.com/office/drawing/2012/chart"/>
            </c:numRef>
          </c:xVal>
          <c:yVal>
            <c:numRef>
              <c:f>FL6new2!#REF!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5-A989-4AFA-8892-5895DC9B8FF5}"/>
            </c:ext>
          </c:extLst>
        </c:ser>
        <c:ser>
          <c:idx val="55"/>
          <c:order val="55"/>
          <c:tx>
            <c:v>PT4_WD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FL6new2!#REF!</c:f>
              <c:extLst xmlns:c15="http://schemas.microsoft.com/office/drawing/2012/chart"/>
            </c:numRef>
          </c:xVal>
          <c:yVal>
            <c:numRef>
              <c:f>FL6new2!#REF!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7-A989-4AFA-8892-5895DC9B8FF5}"/>
            </c:ext>
          </c:extLst>
        </c:ser>
        <c:ser>
          <c:idx val="57"/>
          <c:order val="57"/>
          <c:tx>
            <c:v>FL6iEPCIold_seabed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E-A989-4AFA-8892-5895DC9B8FF5}"/>
            </c:ext>
          </c:extLst>
        </c:ser>
        <c:ser>
          <c:idx val="58"/>
          <c:order val="58"/>
          <c:tx>
            <c:v>Span#2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FL6new2!$V$29</c:f>
              <c:numCache>
                <c:formatCode>General</c:formatCode>
                <c:ptCount val="1"/>
                <c:pt idx="0">
                  <c:v>127050157.50527635</c:v>
                </c:pt>
              </c:numCache>
              <c:extLst xmlns:c15="http://schemas.microsoft.com/office/drawing/2012/chart"/>
            </c:numRef>
          </c:xVal>
          <c:yVal>
            <c:numRef>
              <c:f>FL6new2!$AF$29</c:f>
              <c:numCache>
                <c:formatCode>General</c:formatCode>
                <c:ptCount val="1"/>
                <c:pt idx="0">
                  <c:v>-4576.972488379437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8-A989-4AFA-8892-5895DC9B8FF5}"/>
            </c:ext>
          </c:extLst>
        </c:ser>
        <c:ser>
          <c:idx val="59"/>
          <c:order val="59"/>
          <c:tx>
            <c:v>Span#1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7390310851271985E-2"/>
                  <c:y val="5.027242906401920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5A-4492-BD9C-C4DCDA5345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FL6new2!$V$30</c:f>
              <c:numCache>
                <c:formatCode>General</c:formatCode>
                <c:ptCount val="1"/>
                <c:pt idx="0">
                  <c:v>69499371.050644383</c:v>
                </c:pt>
              </c:numCache>
            </c:numRef>
          </c:xVal>
          <c:yVal>
            <c:numRef>
              <c:f>FL6new2!$AF$30</c:f>
              <c:numCache>
                <c:formatCode>General</c:formatCode>
                <c:ptCount val="1"/>
                <c:pt idx="0">
                  <c:v>-4293.0544999996955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A989-4AFA-8892-5895DC9B8FF5}"/>
            </c:ext>
          </c:extLst>
        </c:ser>
        <c:ser>
          <c:idx val="60"/>
          <c:order val="60"/>
          <c:tx>
            <c:v>RogueBuckles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8"/>
              <c:layout>
                <c:manualLayout>
                  <c:x val="-1.5216839361817738E-2"/>
                  <c:y val="-4.42397375763369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#9 RB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A989-4AFA-8892-5895DC9B8FF5}"/>
                </c:ext>
              </c:extLst>
            </c:dLbl>
            <c:dLbl>
              <c:idx val="9"/>
              <c:layout>
                <c:manualLayout>
                  <c:x val="-5.0215569893998648E-2"/>
                  <c:y val="-3.820704608865459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#10 RB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A989-4AFA-8892-5895DC9B8FF5}"/>
                </c:ext>
              </c:extLst>
            </c:dLbl>
            <c:dLbl>
              <c:idx val="17"/>
              <c:layout>
                <c:manualLayout>
                  <c:x val="-1.2173471489454191E-2"/>
                  <c:y val="3.051113600406943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#18RB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5B9-4F8B-A0E2-F658C910C0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FL6new2!$V$31:$V$49</c:f>
              <c:numCache>
                <c:formatCode>General</c:formatCode>
                <c:ptCount val="19"/>
                <c:pt idx="0">
                  <c:v>10764368.518569576</c:v>
                </c:pt>
                <c:pt idx="1">
                  <c:v>13058632.540827822</c:v>
                </c:pt>
                <c:pt idx="2">
                  <c:v>21488726.681518037</c:v>
                </c:pt>
                <c:pt idx="3">
                  <c:v>25823811.469384007</c:v>
                </c:pt>
                <c:pt idx="4">
                  <c:v>30479032.30747905</c:v>
                </c:pt>
                <c:pt idx="5">
                  <c:v>43080817.882162295</c:v>
                </c:pt>
                <c:pt idx="6">
                  <c:v>56486295.513806693</c:v>
                </c:pt>
                <c:pt idx="7">
                  <c:v>70207333.543308616</c:v>
                </c:pt>
                <c:pt idx="8">
                  <c:v>95777848.070507467</c:v>
                </c:pt>
                <c:pt idx="9">
                  <c:v>108143588.50860415</c:v>
                </c:pt>
                <c:pt idx="10">
                  <c:v>112574123.53315134</c:v>
                </c:pt>
                <c:pt idx="11">
                  <c:v>119676400.59929579</c:v>
                </c:pt>
                <c:pt idx="12">
                  <c:v>126392154.75187838</c:v>
                </c:pt>
                <c:pt idx="13">
                  <c:v>131965246.13518316</c:v>
                </c:pt>
                <c:pt idx="14">
                  <c:v>139217096.48888057</c:v>
                </c:pt>
                <c:pt idx="15">
                  <c:v>143671720.19495368</c:v>
                </c:pt>
                <c:pt idx="16">
                  <c:v>2014151.6289653257</c:v>
                </c:pt>
                <c:pt idx="17">
                  <c:v>37468540.824768499</c:v>
                </c:pt>
                <c:pt idx="18">
                  <c:v>153604876.23575756</c:v>
                </c:pt>
              </c:numCache>
              <c:extLst xmlns:c15="http://schemas.microsoft.com/office/drawing/2012/chart"/>
            </c:numRef>
          </c:xVal>
          <c:yVal>
            <c:numRef>
              <c:f>FL6new2!$AF$31:$AF$49</c:f>
              <c:numCache>
                <c:formatCode>General</c:formatCode>
                <c:ptCount val="19"/>
                <c:pt idx="0">
                  <c:v>-4003.2943630199584</c:v>
                </c:pt>
                <c:pt idx="1">
                  <c:v>-4014.6127630999481</c:v>
                </c:pt>
                <c:pt idx="2">
                  <c:v>-4056.2013410799104</c:v>
                </c:pt>
                <c:pt idx="3">
                  <c:v>-4077.5878177598911</c:v>
                </c:pt>
                <c:pt idx="4">
                  <c:v>-4100.5536365998705</c:v>
                </c:pt>
                <c:pt idx="5">
                  <c:v>-4162.7226151798131</c:v>
                </c:pt>
                <c:pt idx="6">
                  <c:v>-4228.8564853997532</c:v>
                </c:pt>
                <c:pt idx="7">
                  <c:v>-4296.5471244996916</c:v>
                </c:pt>
                <c:pt idx="8">
                  <c:v>-4422.6953405995773</c:v>
                </c:pt>
                <c:pt idx="9">
                  <c:v>-4483.6998266595219</c:v>
                </c:pt>
                <c:pt idx="10">
                  <c:v>-4505.5571924595015</c:v>
                </c:pt>
                <c:pt idx="11">
                  <c:v>-4540.5951883194703</c:v>
                </c:pt>
                <c:pt idx="12">
                  <c:v>-4573.72633259944</c:v>
                </c:pt>
                <c:pt idx="13">
                  <c:v>-4601.2203251594146</c:v>
                </c:pt>
                <c:pt idx="14">
                  <c:v>-4636.9962179193826</c:v>
                </c:pt>
                <c:pt idx="15">
                  <c:v>-4658.9724215393617</c:v>
                </c:pt>
                <c:pt idx="16">
                  <c:v>-3960.1265084999977</c:v>
                </c:pt>
                <c:pt idx="17">
                  <c:v>-4135.0353060998386</c:v>
                </c:pt>
                <c:pt idx="18">
                  <c:v>-4707.9761251393174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D-A989-4AFA-8892-5895DC9B8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738704"/>
        <c:axId val="667095704"/>
        <c:extLst/>
      </c:scatterChart>
      <c:valAx>
        <c:axId val="573138320"/>
        <c:scaling>
          <c:orientation val="minMax"/>
          <c:max val="1535000"/>
          <c:min val="149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X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399576"/>
        <c:crosses val="autoZero"/>
        <c:crossBetween val="midCat"/>
      </c:valAx>
      <c:valAx>
        <c:axId val="915399576"/>
        <c:scaling>
          <c:orientation val="minMax"/>
          <c:max val="9785000"/>
          <c:min val="975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</a:t>
                </a:r>
                <a:r>
                  <a:rPr lang="en-US" b="1" baseline="0"/>
                  <a:t> (ft)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1.0131268242068045E-2"/>
              <c:y val="0.45208335054256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38320"/>
        <c:crosses val="autoZero"/>
        <c:crossBetween val="midCat"/>
      </c:valAx>
      <c:valAx>
        <c:axId val="667095704"/>
        <c:scaling>
          <c:orientation val="minMax"/>
          <c:max val="-3300"/>
          <c:min val="-43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Water Depth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38704"/>
        <c:crosses val="max"/>
        <c:crossBetween val="midCat"/>
      </c:valAx>
      <c:valAx>
        <c:axId val="789738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7095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327025</xdr:colOff>
      <xdr:row>15</xdr:row>
      <xdr:rowOff>79375</xdr:rowOff>
    </xdr:from>
    <xdr:to>
      <xdr:col>13</xdr:col>
      <xdr:colOff>22225</xdr:colOff>
      <xdr:row>30</xdr:row>
      <xdr:rowOff>60325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D31130-A4F2-E4BB-E6E8-05DE796644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321652</xdr:colOff>
      <xdr:row>6</xdr:row>
      <xdr:rowOff>144095</xdr:rowOff>
    </xdr:from>
    <xdr:to>
      <xdr:col>12</xdr:col>
      <xdr:colOff>73512</xdr:colOff>
      <xdr:row>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D942E4E-F83A-0CDF-EC1C-18A1B09BB6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19685</xdr:colOff>
      <xdr:row>4</xdr:row>
      <xdr:rowOff>89535</xdr:rowOff>
    </xdr:from>
    <xdr:to>
      <xdr:col>15</xdr:col>
      <xdr:colOff>109220</xdr:colOff>
      <xdr:row>23</xdr:row>
      <xdr:rowOff>23495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57D27EF-E50D-EC9C-A506-17E36B8C1A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42545</xdr:colOff>
      <xdr:row>23</xdr:row>
      <xdr:rowOff>176530</xdr:rowOff>
    </xdr:from>
    <xdr:to>
      <xdr:col>15</xdr:col>
      <xdr:colOff>154305</xdr:colOff>
      <xdr:row>42</xdr:row>
      <xdr:rowOff>110490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339895-D9A7-403A-BAA6-21B66995D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582083</xdr:colOff>
      <xdr:row>18</xdr:row>
      <xdr:rowOff>19049</xdr:rowOff>
    </xdr:from>
    <xdr:to>
      <xdr:col>14</xdr:col>
      <xdr:colOff>393700</xdr:colOff>
      <xdr:row>52</xdr:row>
      <xdr:rowOff>1571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754287-6937-4B22-9D0B-A909604D1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133350</xdr:colOff>
      <xdr:row>0</xdr:row>
      <xdr:rowOff>25400</xdr:rowOff>
    </xdr:from>
    <xdr:to>
      <xdr:col>61</xdr:col>
      <xdr:colOff>257808</xdr:colOff>
      <xdr:row>15</xdr:row>
      <xdr:rowOff>149371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C4ECCF-CBA7-9218-D397-F9E3E38D4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736800" y="25400"/>
          <a:ext cx="12316458" cy="2848121"/>
        </a:xfrm>
        <a:prstGeom prst="rect">
          <a:avLst/>
        </a:prstGeom>
      </xdr:spPr>
    </xdr:pic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0.08884</cdr:x>
      <cdr:y>0.11926</cdr:y>
    </cdr:from>
    <cdr:to>
      <cdr:x>0.14908</cdr:x>
      <cdr:y>0.18309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C662D36-8895-05A1-4B05-3067EA1A0901}"/>
            </a:ext>
          </a:extLst>
        </cdr:cNvPr>
        <cdr:cNvSpPr txBox="1"/>
      </cdr:nvSpPr>
      <cdr:spPr>
        <a:xfrm xmlns:a="http://schemas.openxmlformats.org/drawingml/2006/main">
          <a:off x="856888" y="765174"/>
          <a:ext cx="581025" cy="409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>
              <a:solidFill>
                <a:srgbClr val="FF0000"/>
              </a:solidFill>
            </a:rPr>
            <a:t>DC3</a:t>
          </a:r>
        </a:p>
      </cdr:txBody>
    </cdr:sp>
  </cdr:relSizeAnchor>
  <cdr:relSizeAnchor xmlns:cdr="http://schemas.openxmlformats.org/drawingml/2006/chartDrawing">
    <cdr:from>
      <cdr:x>0.8812</cdr:x>
      <cdr:y>0.77988</cdr:y>
    </cdr:from>
    <cdr:to>
      <cdr:x>0.94144</cdr:x>
      <cdr:y>0.84371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DC044E5E-7DF2-2235-66A1-1771F1AE6A55}"/>
            </a:ext>
          </a:extLst>
        </cdr:cNvPr>
        <cdr:cNvSpPr txBox="1"/>
      </cdr:nvSpPr>
      <cdr:spPr>
        <a:xfrm xmlns:a="http://schemas.openxmlformats.org/drawingml/2006/main">
          <a:off x="8499475" y="5003800"/>
          <a:ext cx="581025" cy="409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solidFill>
                <a:srgbClr val="FF0000"/>
              </a:solidFill>
            </a:rPr>
            <a:t>TDP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4</xdr:col>
      <xdr:colOff>0</xdr:colOff>
      <xdr:row>14</xdr:row>
      <xdr:rowOff>0</xdr:rowOff>
    </xdr:to>
    <xdr:sp macro="RunSeabedWorkflow" textlink="">
      <xdr:nvSpPr>
        <xdr:cNvPr id="2" name="Run Seabed Workflow Button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0F766E"/>
        </a:solidFill>
        <a:ln w="12700">
          <a:solidFill>
            <a:srgbClr val="FFFFFF">
              <a:alpha val="50000"/>
            </a:srgbClr>
          </a:solidFill>
        </a:ln>
      </xdr:spPr>
      <xdr:txBody>
        <a:bodyPr wrap="square" lIns="91440" tIns="45720" rIns="91440" bIns="4572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ptos Display"/>
            </a:rPr>
            <a:t>RUN SEABED WORKFLOW</a:t>
          </a:r>
          <a:endParaRPr lang="en-US" sz="1600"/>
        </a:p>
      </xdr:txBody>
    </xdr:sp>
    <xdr:clientData/>
  </xdr:twoCellAnchor>
  <xdr:twoCellAnchor editAs="oneCell">
    <xdr:from>
      <xdr:col>4</xdr:col>
      <xdr:colOff>0</xdr:colOff>
      <xdr:row>11</xdr:row>
      <xdr:rowOff>0</xdr:rowOff>
    </xdr:from>
    <xdr:to>
      <xdr:col>7</xdr:col>
      <xdr:colOff>0</xdr:colOff>
      <xdr:row>14</xdr:row>
      <xdr:rowOff>0</xdr:rowOff>
    </xdr:to>
    <xdr:sp macro="RunModSeabedWorkflow" textlink="">
      <xdr:nvSpPr>
        <xdr:cNvPr id="3" name="Run ModSeabed Workflow Button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334E68"/>
        </a:solidFill>
        <a:ln w="12700">
          <a:solidFill>
            <a:srgbClr val="FFFFFF">
              <a:alpha val="50000"/>
            </a:srgbClr>
          </a:solidFill>
        </a:ln>
      </xdr:spPr>
      <xdr:txBody>
        <a:bodyPr wrap="square" lIns="91440" tIns="45720" rIns="91440" bIns="45720" anchor="ctr"/>
        <a:lstStyle/>
        <a:p>
          <a:pPr algn="ctr"/>
          <a:r>
            <a:rPr lang="en-US" sz="1400" b="1">
              <a:solidFill>
                <a:srgbClr val="FFFFFF"/>
              </a:solidFill>
              <a:latin typeface="Aptos Display"/>
            </a:rPr>
            <a:t>RUN MODSEABED WORKFLOW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N132"/>
  <sheetViews>
    <sheetView workbookViewId="0">
      <selection activeCell="M46" sqref="M46"/>
    </sheetView>
  </sheetViews>
  <sheetFormatPr defaultRowHeight="14.4" x14ac:dyDescent="0.3"/>
  <cols>
    <col min="3" max="3" width="12.77734375" customWidth="1"/>
    <col min="4" max="4" width="12.21875" customWidth="1"/>
    <col min="6" max="6" width="9.77734375" bestFit="1" customWidth="1"/>
  </cols>
  <sheetData>
    <row r="1" spans="1:92" x14ac:dyDescent="0.3"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AQ1" s="10"/>
      <c r="BH1" t="s">
        <v>60</v>
      </c>
      <c r="BQ1" t="s">
        <v>160</v>
      </c>
      <c r="BR1">
        <v>4</v>
      </c>
      <c r="BS1" t="str">
        <f>SUBSTITUTE(ADDRESS(1,BR1,4),1,)</f>
        <v>D</v>
      </c>
      <c r="BT1" t="s">
        <v>60</v>
      </c>
      <c r="CK1" t="s">
        <v>160</v>
      </c>
      <c r="CL1">
        <v>4</v>
      </c>
      <c r="CM1" t="str">
        <f>SUBSTITUTE(ADDRESS(1,CL1,4),1,)</f>
        <v>D</v>
      </c>
      <c r="CN1" t="s">
        <v>60</v>
      </c>
    </row>
    <row r="2" spans="1:92" x14ac:dyDescent="0.3">
      <c r="A2">
        <v>1</v>
      </c>
      <c r="B2">
        <v>1495624.53</v>
      </c>
      <c r="C2">
        <v>9782855.5099999998</v>
      </c>
      <c r="D2">
        <v>-3956.16</v>
      </c>
      <c r="F2">
        <v>0</v>
      </c>
      <c r="G2">
        <v>0</v>
      </c>
      <c r="H2">
        <v>1</v>
      </c>
      <c r="I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  <c r="P2">
        <v>9</v>
      </c>
      <c r="Q2">
        <v>10</v>
      </c>
      <c r="AQ2" s="10"/>
      <c r="BH2" t="s">
        <v>61</v>
      </c>
      <c r="BQ2" t="s">
        <v>160</v>
      </c>
      <c r="BR2">
        <v>4</v>
      </c>
      <c r="BS2" t="str">
        <f>SUBSTITUTE(ADDRESS(1,BR2,4),1,)</f>
        <v>D</v>
      </c>
      <c r="BT2" t="str">
        <f>"    ActiveChart.FullSeriesCollection("&amp;BQ2&amp;").Name=""=Seabed_3ft!$"&amp;BS2&amp;"$2"""</f>
        <v xml:space="preserve">    ActiveChart.FullSeriesCollection(1).Name="=Seabed_3ft!$D$2"</v>
      </c>
      <c r="CK2" t="s">
        <v>160</v>
      </c>
      <c r="CL2">
        <v>4</v>
      </c>
      <c r="CM2" t="str">
        <f>SUBSTITUTE(ADDRESS(1,CL2,4),1,)</f>
        <v>D</v>
      </c>
      <c r="CN2" t="str">
        <f>"    ActiveChart.FullSeriesCollection("&amp;CK2&amp;").Name=""=Seabed_3ft!$"&amp;CM2&amp;"$2"""</f>
        <v xml:space="preserve">    ActiveChart.FullSeriesCollection(1).Name="=Seabed_3ft!$D$2"</v>
      </c>
    </row>
    <row r="3" spans="1:92" x14ac:dyDescent="0.3">
      <c r="A3">
        <f>A2+1</f>
        <v>2</v>
      </c>
      <c r="B3">
        <v>1495620.49</v>
      </c>
      <c r="C3">
        <v>9782846.3599999994</v>
      </c>
      <c r="D3">
        <v>-3956.3</v>
      </c>
      <c r="E3">
        <f>SQRT((B3-B2)^2+(C3-C2)^2)</f>
        <v>10.002204757308174</v>
      </c>
      <c r="F3">
        <f>F2+E3</f>
        <v>10.002204757308174</v>
      </c>
      <c r="G3">
        <v>11</v>
      </c>
      <c r="H3">
        <v>12</v>
      </c>
      <c r="I3">
        <v>13</v>
      </c>
      <c r="J3">
        <v>14</v>
      </c>
      <c r="K3">
        <v>15</v>
      </c>
      <c r="L3">
        <v>16</v>
      </c>
      <c r="M3">
        <v>17</v>
      </c>
      <c r="N3">
        <v>18</v>
      </c>
      <c r="O3">
        <v>19</v>
      </c>
      <c r="P3">
        <v>20</v>
      </c>
      <c r="Q3">
        <v>21</v>
      </c>
      <c r="BH3" t="s">
        <v>94</v>
      </c>
      <c r="BQ3" t="s">
        <v>160</v>
      </c>
      <c r="BR3">
        <v>3</v>
      </c>
      <c r="BS3" t="str">
        <f>SUBSTITUTE(ADDRESS(1,BR3,4),1,)</f>
        <v>C</v>
      </c>
      <c r="BT3" t="str">
        <f>"    ActiveChart.FullSeriesCollection("&amp;BQ3&amp;").XValues=""=Seabed_3ft!$"&amp;BS3&amp;"$4:$"&amp;BS3&amp;"$50000"""</f>
        <v xml:space="preserve">    ActiveChart.FullSeriesCollection(1).XValues="=Seabed_3ft!$C$4:$C$50000"</v>
      </c>
      <c r="CK3" t="s">
        <v>160</v>
      </c>
      <c r="CL3">
        <v>3</v>
      </c>
      <c r="CM3" t="str">
        <f>SUBSTITUTE(ADDRESS(1,CL3,4),1,)</f>
        <v>C</v>
      </c>
      <c r="CN3" t="str">
        <f>"    ActiveChart.FullSeriesCollection("&amp;CK3&amp;").XValues=""=Seabed_3ft!$"&amp;CM3&amp;"$4:$"&amp;CM3&amp;"$50000"""</f>
        <v xml:space="preserve">    ActiveChart.FullSeriesCollection(1).XValues="=Seabed_3ft!$C$4:$C$50000"</v>
      </c>
    </row>
    <row r="4" spans="1:92" x14ac:dyDescent="0.3">
      <c r="A4">
        <f>A3+1</f>
        <v>3</v>
      </c>
      <c r="B4">
        <v>1495616.45</v>
      </c>
      <c r="C4">
        <v>9782837.2100000009</v>
      </c>
      <c r="D4">
        <v>-3956.37</v>
      </c>
      <c r="E4">
        <f t="shared" ref="E4:E34" si="0">SQRT((B4-B3)^2+(C4-C3)^2)</f>
        <v>10.002204755604231</v>
      </c>
      <c r="F4">
        <f t="shared" ref="F4:F34" si="1">F3+E4</f>
        <v>20.004409512912403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  <c r="P4">
        <v>31</v>
      </c>
      <c r="Q4">
        <v>32</v>
      </c>
      <c r="BH4" t="s">
        <v>95</v>
      </c>
      <c r="BQ4" t="s">
        <v>160</v>
      </c>
      <c r="BR4">
        <v>6</v>
      </c>
      <c r="BS4" t="str">
        <f>SUBSTITUTE(ADDRESS(1,BR4,4),1,)</f>
        <v>F</v>
      </c>
      <c r="BT4" t="str">
        <f>"    ActiveChart.FullSeriesCollection("&amp;BQ4&amp;").Values=""=Seabed_3ft!$"&amp;BS4&amp;"$4:$"&amp;BS4&amp;"$50000"""</f>
        <v xml:space="preserve">    ActiveChart.FullSeriesCollection(1).Values="=Seabed_3ft!$F$4:$F$50000"</v>
      </c>
      <c r="CK4" t="s">
        <v>160</v>
      </c>
      <c r="CL4">
        <v>6</v>
      </c>
      <c r="CM4" t="str">
        <f>SUBSTITUTE(ADDRESS(1,CL4,4),1,)</f>
        <v>F</v>
      </c>
      <c r="CN4" t="str">
        <f>"    ActiveChart.FullSeriesCollection("&amp;CK4&amp;").Values=""=Seabed_3ft!$"&amp;CM4&amp;"$4:$"&amp;CM4&amp;"$50000"""</f>
        <v xml:space="preserve">    ActiveChart.FullSeriesCollection(1).Values="=Seabed_3ft!$F$4:$F$50000"</v>
      </c>
    </row>
    <row r="5" spans="1:92" x14ac:dyDescent="0.3">
      <c r="A5">
        <f>A4+1</f>
        <v>4</v>
      </c>
      <c r="B5">
        <v>1495612.41</v>
      </c>
      <c r="C5">
        <v>9782828.0600000005</v>
      </c>
      <c r="D5">
        <v>-3956.48</v>
      </c>
      <c r="E5">
        <f t="shared" si="0"/>
        <v>10.002204757308174</v>
      </c>
      <c r="F5">
        <f t="shared" si="1"/>
        <v>30.006614270220577</v>
      </c>
      <c r="BH5" t="s">
        <v>60</v>
      </c>
      <c r="BQ5" t="s">
        <v>161</v>
      </c>
      <c r="BR5">
        <v>8</v>
      </c>
      <c r="BS5" t="str">
        <f t="shared" ref="BS5:BS65" si="2">SUBSTITUTE(ADDRESS(1,BR5,4),1,)</f>
        <v>H</v>
      </c>
      <c r="BT5" t="s">
        <v>60</v>
      </c>
      <c r="CK5" t="s">
        <v>161</v>
      </c>
      <c r="CL5">
        <v>8</v>
      </c>
      <c r="CM5" t="str">
        <f t="shared" ref="CM5:CM68" si="3">SUBSTITUTE(ADDRESS(1,CL5,4),1,)</f>
        <v>H</v>
      </c>
      <c r="CN5" t="s">
        <v>60</v>
      </c>
    </row>
    <row r="6" spans="1:92" x14ac:dyDescent="0.3">
      <c r="A6">
        <f>A5+1</f>
        <v>5</v>
      </c>
      <c r="B6">
        <v>1495608.37</v>
      </c>
      <c r="C6">
        <v>9782818.9199999999</v>
      </c>
      <c r="D6">
        <v>-3956.62</v>
      </c>
      <c r="E6">
        <f t="shared" si="0"/>
        <v>9.9930575906133683</v>
      </c>
      <c r="F6">
        <f t="shared" si="1"/>
        <v>39.999671860833942</v>
      </c>
      <c r="BH6" t="s">
        <v>62</v>
      </c>
      <c r="BQ6" t="s">
        <v>161</v>
      </c>
      <c r="BR6">
        <v>8</v>
      </c>
      <c r="BS6" t="str">
        <f t="shared" si="2"/>
        <v>H</v>
      </c>
      <c r="BT6" t="str">
        <f>"    ActiveChart.FullSeriesCollection("&amp;BQ6&amp;").Name=""=Seabed_3ft!$"&amp;BS6&amp;"$2"""</f>
        <v xml:space="preserve">    ActiveChart.FullSeriesCollection(2).Name="=Seabed_3ft!$H$2"</v>
      </c>
      <c r="CK6" t="s">
        <v>161</v>
      </c>
      <c r="CL6">
        <v>8</v>
      </c>
      <c r="CM6" t="str">
        <f t="shared" si="3"/>
        <v>H</v>
      </c>
      <c r="CN6" t="str">
        <f>"    ActiveChart.FullSeriesCollection("&amp;CK6&amp;").Name=""=Seabed_3ft!$"&amp;CM6&amp;"$2"""</f>
        <v xml:space="preserve">    ActiveChart.FullSeriesCollection(2).Name="=Seabed_3ft!$H$2"</v>
      </c>
    </row>
    <row r="7" spans="1:92" x14ac:dyDescent="0.3">
      <c r="A7">
        <f>A6+1</f>
        <v>6</v>
      </c>
      <c r="B7">
        <v>1495604.33</v>
      </c>
      <c r="C7">
        <v>9782809.7699999996</v>
      </c>
      <c r="D7">
        <v>-3956.68</v>
      </c>
      <c r="E7">
        <f t="shared" si="0"/>
        <v>10.002204757308174</v>
      </c>
      <c r="F7">
        <f t="shared" si="1"/>
        <v>50.00187661814212</v>
      </c>
      <c r="BH7" t="s">
        <v>96</v>
      </c>
      <c r="BQ7" t="s">
        <v>161</v>
      </c>
      <c r="BR7">
        <v>7</v>
      </c>
      <c r="BS7" t="str">
        <f t="shared" si="2"/>
        <v>G</v>
      </c>
      <c r="BT7" t="str">
        <f>"    ActiveChart.FullSeriesCollection("&amp;BQ7&amp;").XValues=""=Seabed_3ft!$"&amp;BS7&amp;"$4:$"&amp;BS7&amp;"$50000"""</f>
        <v xml:space="preserve">    ActiveChart.FullSeriesCollection(2).XValues="=Seabed_3ft!$G$4:$G$50000"</v>
      </c>
      <c r="CK7" t="s">
        <v>161</v>
      </c>
      <c r="CL7">
        <v>7</v>
      </c>
      <c r="CM7" t="str">
        <f t="shared" si="3"/>
        <v>G</v>
      </c>
      <c r="CN7" t="str">
        <f>"    ActiveChart.FullSeriesCollection("&amp;CK7&amp;").XValues=""=Seabed_3ft!$"&amp;CM7&amp;"$4:$"&amp;CM7&amp;"$50000"""</f>
        <v xml:space="preserve">    ActiveChart.FullSeriesCollection(2).XValues="=Seabed_3ft!$G$4:$G$50000"</v>
      </c>
    </row>
    <row r="8" spans="1:92" x14ac:dyDescent="0.3">
      <c r="A8">
        <f>A7+1</f>
        <v>7</v>
      </c>
      <c r="B8">
        <v>1495600.29</v>
      </c>
      <c r="C8">
        <v>9782800.6199999992</v>
      </c>
      <c r="D8">
        <v>-3956.77</v>
      </c>
      <c r="E8">
        <f t="shared" si="0"/>
        <v>10.002204757308174</v>
      </c>
      <c r="F8">
        <f t="shared" si="1"/>
        <v>60.004081375450298</v>
      </c>
      <c r="BH8" t="s">
        <v>97</v>
      </c>
      <c r="BQ8" t="s">
        <v>161</v>
      </c>
      <c r="BR8">
        <v>10</v>
      </c>
      <c r="BS8" t="str">
        <f t="shared" si="2"/>
        <v>J</v>
      </c>
      <c r="BT8" t="str">
        <f>"    ActiveChart.FullSeriesCollection("&amp;BQ8&amp;").Values=""=Seabed_3ft!$"&amp;BS8&amp;"$4:$"&amp;BS8&amp;"$50000"""</f>
        <v xml:space="preserve">    ActiveChart.FullSeriesCollection(2).Values="=Seabed_3ft!$J$4:$J$50000"</v>
      </c>
      <c r="CK8" t="s">
        <v>161</v>
      </c>
      <c r="CL8">
        <v>10</v>
      </c>
      <c r="CM8" t="str">
        <f t="shared" si="3"/>
        <v>J</v>
      </c>
      <c r="CN8" t="str">
        <f>"    ActiveChart.FullSeriesCollection("&amp;CK8&amp;").Values=""=Seabed_3ft!$"&amp;CM8&amp;"$4:$"&amp;CM8&amp;"$50000"""</f>
        <v xml:space="preserve">    ActiveChart.FullSeriesCollection(2).Values="=Seabed_3ft!$J$4:$J$50000"</v>
      </c>
    </row>
    <row r="9" spans="1:92" x14ac:dyDescent="0.3">
      <c r="A9">
        <f>A8+1</f>
        <v>8</v>
      </c>
      <c r="B9">
        <v>1495596.25</v>
      </c>
      <c r="C9">
        <v>9782791.4800000004</v>
      </c>
      <c r="D9">
        <v>-3956.86</v>
      </c>
      <c r="E9">
        <f t="shared" si="0"/>
        <v>9.9930575890038575</v>
      </c>
      <c r="F9">
        <f t="shared" si="1"/>
        <v>69.997138964454152</v>
      </c>
      <c r="BH9" t="s">
        <v>60</v>
      </c>
      <c r="BQ9" t="s">
        <v>162</v>
      </c>
      <c r="BR9">
        <f t="shared" ref="BR9:BR16" si="4">BR5+4</f>
        <v>12</v>
      </c>
      <c r="BS9" t="str">
        <f t="shared" si="2"/>
        <v>L</v>
      </c>
      <c r="BT9" t="s">
        <v>60</v>
      </c>
      <c r="CC9" t="s">
        <v>60</v>
      </c>
      <c r="CK9" t="s">
        <v>162</v>
      </c>
      <c r="CL9">
        <f t="shared" ref="CL9:CL72" si="5">CL5+4</f>
        <v>12</v>
      </c>
      <c r="CM9" t="str">
        <f t="shared" si="3"/>
        <v>L</v>
      </c>
      <c r="CN9" t="s">
        <v>60</v>
      </c>
    </row>
    <row r="10" spans="1:92" x14ac:dyDescent="0.3">
      <c r="A10">
        <f>A9+1</f>
        <v>9</v>
      </c>
      <c r="B10">
        <v>1495592.21</v>
      </c>
      <c r="C10">
        <v>9782782.3300000001</v>
      </c>
      <c r="D10">
        <v>-3956.96</v>
      </c>
      <c r="E10">
        <f t="shared" si="0"/>
        <v>10.002204757308174</v>
      </c>
      <c r="F10">
        <f t="shared" si="1"/>
        <v>79.99934372176233</v>
      </c>
      <c r="BH10" t="s">
        <v>63</v>
      </c>
      <c r="BQ10" t="s">
        <v>162</v>
      </c>
      <c r="BR10">
        <f t="shared" si="4"/>
        <v>12</v>
      </c>
      <c r="BS10" t="str">
        <f t="shared" si="2"/>
        <v>L</v>
      </c>
      <c r="BT10" t="str">
        <f>"    ActiveChart.FullSeriesCollection("&amp;BQ10&amp;").Name=""=Seabed_3ft!$"&amp;BS10&amp;"$2"""</f>
        <v xml:space="preserve">    ActiveChart.FullSeriesCollection(3).Name="=Seabed_3ft!$L$2"</v>
      </c>
      <c r="CC10" t="s">
        <v>63</v>
      </c>
      <c r="CK10" t="s">
        <v>162</v>
      </c>
      <c r="CL10">
        <f t="shared" si="5"/>
        <v>12</v>
      </c>
      <c r="CM10" t="str">
        <f t="shared" si="3"/>
        <v>L</v>
      </c>
      <c r="CN10" t="str">
        <f>"    ActiveChart.FullSeriesCollection("&amp;CK10&amp;").Name=""=Seabed_3ft!$"&amp;CM10&amp;"$2"""</f>
        <v xml:space="preserve">    ActiveChart.FullSeriesCollection(3).Name="=Seabed_3ft!$L$2"</v>
      </c>
    </row>
    <row r="11" spans="1:92" x14ac:dyDescent="0.3">
      <c r="A11">
        <f>A10+1</f>
        <v>10</v>
      </c>
      <c r="B11">
        <v>1495588.17</v>
      </c>
      <c r="C11">
        <v>9782773.1799999997</v>
      </c>
      <c r="D11">
        <v>-3957.07</v>
      </c>
      <c r="E11">
        <f t="shared" si="0"/>
        <v>10.002204757308174</v>
      </c>
      <c r="F11">
        <f t="shared" si="1"/>
        <v>90.001548479070507</v>
      </c>
      <c r="BH11" t="s">
        <v>98</v>
      </c>
      <c r="BQ11" t="s">
        <v>162</v>
      </c>
      <c r="BR11">
        <f t="shared" si="4"/>
        <v>11</v>
      </c>
      <c r="BS11" t="str">
        <f t="shared" si="2"/>
        <v>K</v>
      </c>
      <c r="BT11" t="str">
        <f>"    ActiveChart.FullSeriesCollection("&amp;BQ11&amp;").XValues=""=Seabed_3ft!$"&amp;BS11&amp;"$4:$"&amp;BS11&amp;"$50000"""</f>
        <v xml:space="preserve">    ActiveChart.FullSeriesCollection(3).XValues="=Seabed_3ft!$K$4:$K$50000"</v>
      </c>
      <c r="CC11" t="s">
        <v>163</v>
      </c>
      <c r="CK11" t="s">
        <v>162</v>
      </c>
      <c r="CL11">
        <f t="shared" si="5"/>
        <v>11</v>
      </c>
      <c r="CM11" t="str">
        <f t="shared" si="3"/>
        <v>K</v>
      </c>
      <c r="CN11" t="str">
        <f>"    ActiveChart.FullSeriesCollection("&amp;CK11&amp;").XValues=""=Seabed_3ft!$"&amp;CM11&amp;"$4:$"&amp;CM11&amp;"$50000"""</f>
        <v xml:space="preserve">    ActiveChart.FullSeriesCollection(3).XValues="=Seabed_3ft!$K$4:$K$50000"</v>
      </c>
    </row>
    <row r="12" spans="1:92" x14ac:dyDescent="0.3">
      <c r="A12">
        <f>A11+1</f>
        <v>11</v>
      </c>
      <c r="B12">
        <v>1495584.13</v>
      </c>
      <c r="C12">
        <v>9782764.0299999993</v>
      </c>
      <c r="D12">
        <v>-3957.15</v>
      </c>
      <c r="E12">
        <f t="shared" si="0"/>
        <v>10.002204757308174</v>
      </c>
      <c r="F12">
        <f t="shared" si="1"/>
        <v>100.00375323637869</v>
      </c>
      <c r="BH12" t="s">
        <v>99</v>
      </c>
      <c r="BQ12" t="s">
        <v>162</v>
      </c>
      <c r="BR12">
        <f t="shared" si="4"/>
        <v>14</v>
      </c>
      <c r="BS12" t="str">
        <f t="shared" si="2"/>
        <v>N</v>
      </c>
      <c r="BT12" t="str">
        <f>"    ActiveChart.FullSeriesCollection("&amp;BQ12&amp;").Values=""=Seabed_3ft!$"&amp;BS12&amp;"$4:$"&amp;BS12&amp;"$50000"""</f>
        <v xml:space="preserve">    ActiveChart.FullSeriesCollection(3).Values="=Seabed_3ft!$N$4:$N$50000"</v>
      </c>
      <c r="CC12" t="s">
        <v>164</v>
      </c>
      <c r="CK12" t="s">
        <v>162</v>
      </c>
      <c r="CL12">
        <f t="shared" si="5"/>
        <v>14</v>
      </c>
      <c r="CM12" t="str">
        <f t="shared" si="3"/>
        <v>N</v>
      </c>
      <c r="CN12" t="str">
        <f>"    ActiveChart.FullSeriesCollection("&amp;CK12&amp;").Values=""=Seabed_3ft!$"&amp;CM12&amp;"$4:$"&amp;CM12&amp;"$50000"""</f>
        <v xml:space="preserve">    ActiveChart.FullSeriesCollection(3).Values="=Seabed_3ft!$N$4:$N$50000"</v>
      </c>
    </row>
    <row r="13" spans="1:92" x14ac:dyDescent="0.3">
      <c r="A13">
        <f>A12+1</f>
        <v>12</v>
      </c>
      <c r="B13">
        <v>1495627.28</v>
      </c>
      <c r="C13">
        <v>9782854.2899999991</v>
      </c>
      <c r="D13">
        <v>-3956.16</v>
      </c>
      <c r="E13">
        <f t="shared" si="0"/>
        <v>100.04394084586885</v>
      </c>
      <c r="F13">
        <f t="shared" si="1"/>
        <v>200.04769408224752</v>
      </c>
      <c r="BH13" t="s">
        <v>60</v>
      </c>
      <c r="BQ13">
        <v>4</v>
      </c>
      <c r="BR13">
        <f t="shared" si="4"/>
        <v>16</v>
      </c>
      <c r="BS13" t="str">
        <f t="shared" si="2"/>
        <v>P</v>
      </c>
      <c r="BT13" t="s">
        <v>60</v>
      </c>
      <c r="CC13" t="s">
        <v>60</v>
      </c>
      <c r="CK13">
        <v>4</v>
      </c>
      <c r="CL13">
        <f t="shared" si="5"/>
        <v>16</v>
      </c>
      <c r="CM13" t="str">
        <f t="shared" si="3"/>
        <v>P</v>
      </c>
      <c r="CN13" t="s">
        <v>60</v>
      </c>
    </row>
    <row r="14" spans="1:92" x14ac:dyDescent="0.3">
      <c r="A14">
        <f>A13+1</f>
        <v>13</v>
      </c>
      <c r="B14">
        <v>1495623.24</v>
      </c>
      <c r="C14">
        <v>9782845.1500000004</v>
      </c>
      <c r="D14">
        <v>-3956.28</v>
      </c>
      <c r="E14">
        <f t="shared" si="0"/>
        <v>9.9930575890038575</v>
      </c>
      <c r="F14">
        <f t="shared" si="1"/>
        <v>210.04075167125137</v>
      </c>
      <c r="BH14" t="s">
        <v>64</v>
      </c>
      <c r="BQ14">
        <v>4</v>
      </c>
      <c r="BR14">
        <f t="shared" si="4"/>
        <v>16</v>
      </c>
      <c r="BS14" t="str">
        <f t="shared" si="2"/>
        <v>P</v>
      </c>
      <c r="BT14" t="str">
        <f>"    ActiveChart.FullSeriesCollection("&amp;BQ14&amp;").Name=""=Seabed_3ft!$"&amp;BS14&amp;"$2"""</f>
        <v xml:space="preserve">    ActiveChart.FullSeriesCollection(4).Name="=Seabed_3ft!$P$2"</v>
      </c>
      <c r="CC14" t="s">
        <v>64</v>
      </c>
      <c r="CK14">
        <v>4</v>
      </c>
      <c r="CL14">
        <f t="shared" si="5"/>
        <v>16</v>
      </c>
      <c r="CM14" t="str">
        <f t="shared" si="3"/>
        <v>P</v>
      </c>
      <c r="CN14" t="str">
        <f>"    ActiveChart.FullSeriesCollection("&amp;CK14&amp;").Name=""=Seabed_3ft!$"&amp;CM14&amp;"$2"""</f>
        <v xml:space="preserve">    ActiveChart.FullSeriesCollection(4).Name="=Seabed_3ft!$P$2"</v>
      </c>
    </row>
    <row r="15" spans="1:92" x14ac:dyDescent="0.3">
      <c r="A15">
        <f>A14+1</f>
        <v>14</v>
      </c>
      <c r="B15">
        <v>1495619.2</v>
      </c>
      <c r="C15">
        <v>9782836</v>
      </c>
      <c r="D15">
        <v>-3956.36</v>
      </c>
      <c r="E15">
        <f t="shared" si="0"/>
        <v>10.002204757308174</v>
      </c>
      <c r="F15">
        <f t="shared" si="1"/>
        <v>220.04295642855953</v>
      </c>
      <c r="BH15" t="s">
        <v>153</v>
      </c>
      <c r="BQ15">
        <v>4</v>
      </c>
      <c r="BR15">
        <f t="shared" si="4"/>
        <v>15</v>
      </c>
      <c r="BS15" t="str">
        <f t="shared" si="2"/>
        <v>O</v>
      </c>
      <c r="BT15" t="str">
        <f>"    ActiveChart.FullSeriesCollection("&amp;BQ15&amp;").XValues=""=Seabed_3ft!$"&amp;BS15&amp;"$4:$"&amp;BS15&amp;"$50000"""</f>
        <v xml:space="preserve">    ActiveChart.FullSeriesCollection(4).XValues="=Seabed_3ft!$O$4:$O$50000"</v>
      </c>
      <c r="CC15" t="s">
        <v>165</v>
      </c>
      <c r="CK15">
        <v>4</v>
      </c>
      <c r="CL15">
        <f t="shared" si="5"/>
        <v>15</v>
      </c>
      <c r="CM15" t="str">
        <f t="shared" si="3"/>
        <v>O</v>
      </c>
      <c r="CN15" t="str">
        <f>"    ActiveChart.FullSeriesCollection("&amp;CK15&amp;").XValues=""=Seabed_3ft!$"&amp;CM15&amp;"$4:$"&amp;CM15&amp;"$50000"""</f>
        <v xml:space="preserve">    ActiveChart.FullSeriesCollection(4).XValues="=Seabed_3ft!$O$4:$O$50000"</v>
      </c>
    </row>
    <row r="16" spans="1:92" x14ac:dyDescent="0.3">
      <c r="A16">
        <f>A15+1</f>
        <v>15</v>
      </c>
      <c r="B16">
        <v>1495615.16</v>
      </c>
      <c r="C16">
        <v>9782826.8499999996</v>
      </c>
      <c r="D16">
        <v>-3956.48</v>
      </c>
      <c r="E16">
        <f t="shared" si="0"/>
        <v>10.002204757308174</v>
      </c>
      <c r="F16">
        <f t="shared" si="1"/>
        <v>230.0451611858677</v>
      </c>
      <c r="BH16" t="s">
        <v>154</v>
      </c>
      <c r="BQ16">
        <v>4</v>
      </c>
      <c r="BR16">
        <f t="shared" si="4"/>
        <v>18</v>
      </c>
      <c r="BS16" t="str">
        <f t="shared" si="2"/>
        <v>R</v>
      </c>
      <c r="BT16" t="str">
        <f>"    ActiveChart.FullSeriesCollection("&amp;BQ16&amp;").Values=""=Seabed_3ft!$"&amp;BS16&amp;"$4:$"&amp;BS16&amp;"$50000"""</f>
        <v xml:space="preserve">    ActiveChart.FullSeriesCollection(4).Values="=Seabed_3ft!$R$4:$R$50000"</v>
      </c>
      <c r="CC16" t="s">
        <v>166</v>
      </c>
      <c r="CK16">
        <v>4</v>
      </c>
      <c r="CL16">
        <f t="shared" si="5"/>
        <v>18</v>
      </c>
      <c r="CM16" t="str">
        <f t="shared" si="3"/>
        <v>R</v>
      </c>
      <c r="CN16" t="str">
        <f>"    ActiveChart.FullSeriesCollection("&amp;CK16&amp;").Values=""=Seabed_3ft!$"&amp;CM16&amp;"$4:$"&amp;CM16&amp;"$50000"""</f>
        <v xml:space="preserve">    ActiveChart.FullSeriesCollection(4).Values="=Seabed_3ft!$R$4:$R$50000"</v>
      </c>
    </row>
    <row r="17" spans="1:92" x14ac:dyDescent="0.3">
      <c r="A17">
        <f>A16+1</f>
        <v>16</v>
      </c>
      <c r="B17">
        <v>1495611.12</v>
      </c>
      <c r="C17">
        <v>9782817.6999999993</v>
      </c>
      <c r="D17">
        <v>-3956.6</v>
      </c>
      <c r="E17">
        <f t="shared" si="0"/>
        <v>10.002204757214132</v>
      </c>
      <c r="F17">
        <f t="shared" si="1"/>
        <v>240.04736594308184</v>
      </c>
      <c r="BH17" t="s">
        <v>60</v>
      </c>
      <c r="BQ17">
        <v>5</v>
      </c>
      <c r="BR17">
        <f t="shared" ref="BR17:BR76" si="6">BR13+4</f>
        <v>20</v>
      </c>
      <c r="BS17" t="str">
        <f t="shared" si="2"/>
        <v>T</v>
      </c>
      <c r="BT17" t="s">
        <v>60</v>
      </c>
      <c r="CC17" t="s">
        <v>60</v>
      </c>
      <c r="CK17">
        <v>5</v>
      </c>
      <c r="CL17">
        <f t="shared" si="5"/>
        <v>20</v>
      </c>
      <c r="CM17" t="str">
        <f t="shared" si="3"/>
        <v>T</v>
      </c>
      <c r="CN17" t="s">
        <v>60</v>
      </c>
    </row>
    <row r="18" spans="1:92" x14ac:dyDescent="0.3">
      <c r="A18">
        <f>A17+1</f>
        <v>17</v>
      </c>
      <c r="B18">
        <v>1495607.07</v>
      </c>
      <c r="C18">
        <v>9782808.5600000005</v>
      </c>
      <c r="D18">
        <v>-3956.68</v>
      </c>
      <c r="E18">
        <f t="shared" si="0"/>
        <v>9.9971045796882496</v>
      </c>
      <c r="F18">
        <f t="shared" si="1"/>
        <v>250.0444705227701</v>
      </c>
      <c r="BH18" t="s">
        <v>65</v>
      </c>
      <c r="BQ18">
        <v>5</v>
      </c>
      <c r="BR18">
        <f t="shared" si="6"/>
        <v>20</v>
      </c>
      <c r="BS18" t="str">
        <f t="shared" si="2"/>
        <v>T</v>
      </c>
      <c r="BT18" t="str">
        <f>"    ActiveChart.FullSeriesCollection("&amp;BQ18&amp;").Name=""=Seabed_3ft!$"&amp;BS18&amp;"$2"""</f>
        <v xml:space="preserve">    ActiveChart.FullSeriesCollection(5).Name="=Seabed_3ft!$T$2"</v>
      </c>
      <c r="CC18" t="s">
        <v>65</v>
      </c>
      <c r="CK18">
        <v>5</v>
      </c>
      <c r="CL18">
        <f t="shared" si="5"/>
        <v>20</v>
      </c>
      <c r="CM18" t="str">
        <f t="shared" si="3"/>
        <v>T</v>
      </c>
      <c r="CN18" t="str">
        <f>"    ActiveChart.FullSeriesCollection("&amp;CK18&amp;").Name=""=Seabed_3ft!$"&amp;CM18&amp;"$2"""</f>
        <v xml:space="preserve">    ActiveChart.FullSeriesCollection(5).Name="=Seabed_3ft!$T$2"</v>
      </c>
    </row>
    <row r="19" spans="1:92" x14ac:dyDescent="0.3">
      <c r="A19">
        <f>A18+1</f>
        <v>18</v>
      </c>
      <c r="B19">
        <v>1495603.03</v>
      </c>
      <c r="C19">
        <v>9782799.4100000001</v>
      </c>
      <c r="D19">
        <v>-3956.76</v>
      </c>
      <c r="E19">
        <f t="shared" si="0"/>
        <v>10.002204757308174</v>
      </c>
      <c r="F19">
        <f t="shared" si="1"/>
        <v>260.04667528007826</v>
      </c>
      <c r="BH19" t="s">
        <v>100</v>
      </c>
      <c r="BQ19">
        <v>5</v>
      </c>
      <c r="BR19">
        <f t="shared" si="6"/>
        <v>19</v>
      </c>
      <c r="BS19" t="str">
        <f t="shared" si="2"/>
        <v>S</v>
      </c>
      <c r="BT19" t="str">
        <f>"    ActiveChart.FullSeriesCollection("&amp;BQ19&amp;").XValues=""=Seabed_3ft!$"&amp;BS19&amp;"$4:$"&amp;BS19&amp;"$50000"""</f>
        <v xml:space="preserve">    ActiveChart.FullSeriesCollection(5).XValues="=Seabed_3ft!$S$4:$S$50000"</v>
      </c>
      <c r="CC19" t="s">
        <v>167</v>
      </c>
      <c r="CK19">
        <v>5</v>
      </c>
      <c r="CL19">
        <f t="shared" si="5"/>
        <v>19</v>
      </c>
      <c r="CM19" t="str">
        <f t="shared" si="3"/>
        <v>S</v>
      </c>
      <c r="CN19" t="str">
        <f>"    ActiveChart.FullSeriesCollection("&amp;CK19&amp;").XValues=""=Seabed_3ft!$"&amp;CM19&amp;"$4:$"&amp;CM19&amp;"$50000"""</f>
        <v xml:space="preserve">    ActiveChart.FullSeriesCollection(5).XValues="=Seabed_3ft!$S$4:$S$50000"</v>
      </c>
    </row>
    <row r="20" spans="1:92" x14ac:dyDescent="0.3">
      <c r="A20">
        <f>A19+1</f>
        <v>19</v>
      </c>
      <c r="B20">
        <v>1495598.99</v>
      </c>
      <c r="C20">
        <v>9782790.2599999998</v>
      </c>
      <c r="D20">
        <v>-3956.86</v>
      </c>
      <c r="E20">
        <f t="shared" si="0"/>
        <v>10.002204757308174</v>
      </c>
      <c r="F20">
        <f t="shared" si="1"/>
        <v>270.04888003738643</v>
      </c>
      <c r="BH20" t="s">
        <v>101</v>
      </c>
      <c r="BQ20">
        <v>5</v>
      </c>
      <c r="BR20">
        <f t="shared" si="6"/>
        <v>22</v>
      </c>
      <c r="BS20" t="str">
        <f t="shared" si="2"/>
        <v>V</v>
      </c>
      <c r="BT20" t="str">
        <f>"    ActiveChart.FullSeriesCollection("&amp;BQ20&amp;").Values=""=Seabed_3ft!$"&amp;BS20&amp;"$4:$"&amp;BS20&amp;"$50000"""</f>
        <v xml:space="preserve">    ActiveChart.FullSeriesCollection(5).Values="=Seabed_3ft!$V$4:$V$50000"</v>
      </c>
      <c r="CC20" t="s">
        <v>168</v>
      </c>
      <c r="CK20">
        <v>5</v>
      </c>
      <c r="CL20">
        <f t="shared" si="5"/>
        <v>22</v>
      </c>
      <c r="CM20" t="str">
        <f t="shared" si="3"/>
        <v>V</v>
      </c>
      <c r="CN20" t="str">
        <f>"    ActiveChart.FullSeriesCollection("&amp;CK20&amp;").Values=""=Seabed_3ft!$"&amp;CM20&amp;"$4:$"&amp;CM20&amp;"$50000"""</f>
        <v xml:space="preserve">    ActiveChart.FullSeriesCollection(5).Values="=Seabed_3ft!$V$4:$V$50000"</v>
      </c>
    </row>
    <row r="21" spans="1:92" x14ac:dyDescent="0.3">
      <c r="A21">
        <f>A20+1</f>
        <v>20</v>
      </c>
      <c r="B21">
        <v>1495594.95</v>
      </c>
      <c r="C21">
        <v>9782781.1199999992</v>
      </c>
      <c r="D21">
        <v>-3956.95</v>
      </c>
      <c r="E21">
        <f t="shared" si="0"/>
        <v>9.9930575907074974</v>
      </c>
      <c r="F21">
        <f t="shared" si="1"/>
        <v>280.04193762809393</v>
      </c>
      <c r="BH21" t="s">
        <v>60</v>
      </c>
      <c r="BQ21">
        <v>6</v>
      </c>
      <c r="BR21">
        <f t="shared" si="6"/>
        <v>24</v>
      </c>
      <c r="BS21" t="str">
        <f t="shared" si="2"/>
        <v>X</v>
      </c>
      <c r="BT21" t="s">
        <v>60</v>
      </c>
      <c r="CC21" t="s">
        <v>60</v>
      </c>
      <c r="CK21">
        <v>6</v>
      </c>
      <c r="CL21">
        <f t="shared" si="5"/>
        <v>24</v>
      </c>
      <c r="CM21" t="str">
        <f t="shared" si="3"/>
        <v>X</v>
      </c>
      <c r="CN21" t="s">
        <v>60</v>
      </c>
    </row>
    <row r="22" spans="1:92" x14ac:dyDescent="0.3">
      <c r="A22">
        <f>A21+1</f>
        <v>21</v>
      </c>
      <c r="B22">
        <v>1495590.91</v>
      </c>
      <c r="C22">
        <v>9782771.9700000007</v>
      </c>
      <c r="D22">
        <v>-3957.06</v>
      </c>
      <c r="E22">
        <f t="shared" si="0"/>
        <v>10.002204755604231</v>
      </c>
      <c r="F22">
        <f t="shared" si="1"/>
        <v>290.04414238369816</v>
      </c>
      <c r="BH22" t="s">
        <v>66</v>
      </c>
      <c r="BQ22">
        <v>6</v>
      </c>
      <c r="BR22">
        <f t="shared" si="6"/>
        <v>24</v>
      </c>
      <c r="BS22" t="str">
        <f t="shared" si="2"/>
        <v>X</v>
      </c>
      <c r="BT22" t="str">
        <f>"    ActiveChart.FullSeriesCollection("&amp;BQ22&amp;").Name=""=Seabed_3ft!$"&amp;BS22&amp;"$2"""</f>
        <v xml:space="preserve">    ActiveChart.FullSeriesCollection(6).Name="=Seabed_3ft!$X$2"</v>
      </c>
      <c r="CC22" t="s">
        <v>66</v>
      </c>
      <c r="CK22">
        <v>6</v>
      </c>
      <c r="CL22">
        <f t="shared" si="5"/>
        <v>24</v>
      </c>
      <c r="CM22" t="str">
        <f t="shared" si="3"/>
        <v>X</v>
      </c>
      <c r="CN22" t="str">
        <f>"    ActiveChart.FullSeriesCollection("&amp;CK22&amp;").Name=""=Seabed_3ft!$"&amp;CM22&amp;"$2"""</f>
        <v xml:space="preserve">    ActiveChart.FullSeriesCollection(6).Name="=Seabed_3ft!$X$2"</v>
      </c>
    </row>
    <row r="23" spans="1:92" x14ac:dyDescent="0.3">
      <c r="A23">
        <f>A22+1</f>
        <v>22</v>
      </c>
      <c r="B23">
        <v>1495586.87</v>
      </c>
      <c r="C23">
        <v>9782762.8200000003</v>
      </c>
      <c r="D23">
        <v>-3957.14</v>
      </c>
      <c r="E23">
        <f t="shared" si="0"/>
        <v>10.002204757214132</v>
      </c>
      <c r="F23">
        <f t="shared" si="1"/>
        <v>300.0463471409123</v>
      </c>
      <c r="BH23" t="s">
        <v>102</v>
      </c>
      <c r="BQ23">
        <v>6</v>
      </c>
      <c r="BR23">
        <f t="shared" si="6"/>
        <v>23</v>
      </c>
      <c r="BS23" t="str">
        <f t="shared" si="2"/>
        <v>W</v>
      </c>
      <c r="BT23" t="str">
        <f>"    ActiveChart.FullSeriesCollection("&amp;BQ23&amp;").XValues=""=Seabed_3ft!$"&amp;BS23&amp;"$4:$"&amp;BS23&amp;"$50000"""</f>
        <v xml:space="preserve">    ActiveChart.FullSeriesCollection(6).XValues="=Seabed_3ft!$W$4:$W$50000"</v>
      </c>
      <c r="CC23" t="s">
        <v>169</v>
      </c>
      <c r="CK23">
        <v>6</v>
      </c>
      <c r="CL23">
        <f t="shared" si="5"/>
        <v>23</v>
      </c>
      <c r="CM23" t="str">
        <f t="shared" si="3"/>
        <v>W</v>
      </c>
      <c r="CN23" t="str">
        <f>"    ActiveChart.FullSeriesCollection("&amp;CK23&amp;").XValues=""=Seabed_3ft!$"&amp;CM23&amp;"$4:$"&amp;CM23&amp;"$50000"""</f>
        <v xml:space="preserve">    ActiveChart.FullSeriesCollection(6).XValues="=Seabed_3ft!$W$4:$W$50000"</v>
      </c>
    </row>
    <row r="24" spans="1:92" x14ac:dyDescent="0.3">
      <c r="A24">
        <f>A23+1</f>
        <v>23</v>
      </c>
      <c r="B24">
        <v>1495630.02</v>
      </c>
      <c r="C24">
        <v>9782853.0800000001</v>
      </c>
      <c r="D24">
        <v>-3956.15</v>
      </c>
      <c r="E24">
        <f t="shared" si="0"/>
        <v>100.04394084576843</v>
      </c>
      <c r="F24">
        <f t="shared" si="1"/>
        <v>400.09028798668072</v>
      </c>
      <c r="AQ24" s="2"/>
      <c r="AT24" s="2"/>
      <c r="AU24" s="2"/>
      <c r="BH24" t="s">
        <v>103</v>
      </c>
      <c r="BQ24">
        <v>6</v>
      </c>
      <c r="BR24">
        <f t="shared" si="6"/>
        <v>26</v>
      </c>
      <c r="BS24" t="str">
        <f t="shared" si="2"/>
        <v>Z</v>
      </c>
      <c r="BT24" t="str">
        <f>"    ActiveChart.FullSeriesCollection("&amp;BQ24&amp;").Values=""=Seabed_3ft!$"&amp;BS24&amp;"$4:$"&amp;BS24&amp;"$50000"""</f>
        <v xml:space="preserve">    ActiveChart.FullSeriesCollection(6).Values="=Seabed_3ft!$Z$4:$Z$50000"</v>
      </c>
      <c r="CC24" t="s">
        <v>170</v>
      </c>
      <c r="CK24">
        <v>6</v>
      </c>
      <c r="CL24">
        <f t="shared" si="5"/>
        <v>26</v>
      </c>
      <c r="CM24" t="str">
        <f t="shared" si="3"/>
        <v>Z</v>
      </c>
      <c r="CN24" t="str">
        <f>"    ActiveChart.FullSeriesCollection("&amp;CK24&amp;").Values=""=Seabed_3ft!$"&amp;CM24&amp;"$4:$"&amp;CM24&amp;"$50000"""</f>
        <v xml:space="preserve">    ActiveChart.FullSeriesCollection(6).Values="=Seabed_3ft!$Z$4:$Z$50000"</v>
      </c>
    </row>
    <row r="25" spans="1:92" x14ac:dyDescent="0.3">
      <c r="A25">
        <f>A24+1</f>
        <v>24</v>
      </c>
      <c r="B25">
        <v>1495625.98</v>
      </c>
      <c r="C25">
        <v>9782843.9299999997</v>
      </c>
      <c r="D25">
        <v>-3956.27</v>
      </c>
      <c r="E25">
        <f t="shared" si="0"/>
        <v>10.002204757308174</v>
      </c>
      <c r="F25">
        <f t="shared" si="1"/>
        <v>410.09249274398888</v>
      </c>
      <c r="AT25" s="2"/>
      <c r="AU25" s="2"/>
      <c r="BH25" t="s">
        <v>60</v>
      </c>
      <c r="BQ25">
        <v>7</v>
      </c>
      <c r="BR25">
        <f t="shared" si="6"/>
        <v>28</v>
      </c>
      <c r="BS25" t="str">
        <f t="shared" si="2"/>
        <v>AB</v>
      </c>
      <c r="BT25" t="s">
        <v>60</v>
      </c>
      <c r="CC25" t="s">
        <v>60</v>
      </c>
      <c r="CK25">
        <v>7</v>
      </c>
      <c r="CL25">
        <f t="shared" si="5"/>
        <v>28</v>
      </c>
      <c r="CM25" t="str">
        <f t="shared" si="3"/>
        <v>AB</v>
      </c>
      <c r="CN25" t="s">
        <v>60</v>
      </c>
    </row>
    <row r="26" spans="1:92" x14ac:dyDescent="0.3">
      <c r="A26">
        <f>A25+1</f>
        <v>25</v>
      </c>
      <c r="B26">
        <v>1495621.94</v>
      </c>
      <c r="C26">
        <v>9782834.7899999991</v>
      </c>
      <c r="D26">
        <v>-3956.35</v>
      </c>
      <c r="E26">
        <f t="shared" si="0"/>
        <v>9.9930575907074974</v>
      </c>
      <c r="F26">
        <f t="shared" si="1"/>
        <v>420.08555033469639</v>
      </c>
      <c r="AT26" s="2"/>
      <c r="AU26" s="2"/>
      <c r="BH26" t="s">
        <v>67</v>
      </c>
      <c r="BQ26">
        <v>7</v>
      </c>
      <c r="BR26">
        <f t="shared" si="6"/>
        <v>28</v>
      </c>
      <c r="BS26" t="str">
        <f t="shared" si="2"/>
        <v>AB</v>
      </c>
      <c r="BT26" t="str">
        <f>"    ActiveChart.FullSeriesCollection("&amp;BQ26&amp;").Name=""=Seabed_3ft!$"&amp;BS26&amp;"$2"""</f>
        <v xml:space="preserve">    ActiveChart.FullSeriesCollection(7).Name="=Seabed_3ft!$AB$2"</v>
      </c>
      <c r="CC26" t="s">
        <v>67</v>
      </c>
      <c r="CK26">
        <v>7</v>
      </c>
      <c r="CL26">
        <f t="shared" si="5"/>
        <v>28</v>
      </c>
      <c r="CM26" t="str">
        <f t="shared" si="3"/>
        <v>AB</v>
      </c>
      <c r="CN26" t="str">
        <f>"    ActiveChart.FullSeriesCollection("&amp;CK26&amp;").Name=""=Seabed_3ft!$"&amp;CM26&amp;"$2"""</f>
        <v xml:space="preserve">    ActiveChart.FullSeriesCollection(7).Name="=Seabed_3ft!$AB$2"</v>
      </c>
    </row>
    <row r="27" spans="1:92" x14ac:dyDescent="0.3">
      <c r="A27">
        <f>A26+1</f>
        <v>26</v>
      </c>
      <c r="B27">
        <v>1495617.9</v>
      </c>
      <c r="C27">
        <v>9782825.6400000006</v>
      </c>
      <c r="D27">
        <v>-3956.49</v>
      </c>
      <c r="E27">
        <f t="shared" si="0"/>
        <v>10.002204755604231</v>
      </c>
      <c r="F27">
        <f t="shared" si="1"/>
        <v>430.08775509030062</v>
      </c>
      <c r="AT27" s="2"/>
      <c r="AU27" s="2"/>
      <c r="BH27" t="s">
        <v>104</v>
      </c>
      <c r="BQ27">
        <v>7</v>
      </c>
      <c r="BR27">
        <f t="shared" si="6"/>
        <v>27</v>
      </c>
      <c r="BS27" t="str">
        <f t="shared" si="2"/>
        <v>AA</v>
      </c>
      <c r="BT27" t="str">
        <f>"    ActiveChart.FullSeriesCollection("&amp;BQ27&amp;").XValues=""=Seabed_3ft!$"&amp;BS27&amp;"$4:$"&amp;BS27&amp;"$50000"""</f>
        <v xml:space="preserve">    ActiveChart.FullSeriesCollection(7).XValues="=Seabed_3ft!$AA$4:$AA$50000"</v>
      </c>
      <c r="CC27" t="s">
        <v>171</v>
      </c>
      <c r="CK27">
        <v>7</v>
      </c>
      <c r="CL27">
        <f t="shared" si="5"/>
        <v>27</v>
      </c>
      <c r="CM27" t="str">
        <f t="shared" si="3"/>
        <v>AA</v>
      </c>
      <c r="CN27" t="str">
        <f>"    ActiveChart.FullSeriesCollection("&amp;CK27&amp;").XValues=""=Seabed_3ft!$"&amp;CM27&amp;"$4:$"&amp;CM27&amp;"$50000"""</f>
        <v xml:space="preserve">    ActiveChart.FullSeriesCollection(7).XValues="=Seabed_3ft!$AA$4:$AA$50000"</v>
      </c>
    </row>
    <row r="28" spans="1:92" x14ac:dyDescent="0.3">
      <c r="A28">
        <f>A27+1</f>
        <v>27</v>
      </c>
      <c r="B28">
        <v>1495613.86</v>
      </c>
      <c r="C28">
        <v>9782816.4900000002</v>
      </c>
      <c r="D28">
        <v>-3956.6</v>
      </c>
      <c r="E28">
        <f t="shared" si="0"/>
        <v>10.002204757214132</v>
      </c>
      <c r="F28">
        <f t="shared" si="1"/>
        <v>440.08995984751476</v>
      </c>
      <c r="AT28" s="2"/>
      <c r="AU28" s="2"/>
      <c r="BH28" t="s">
        <v>105</v>
      </c>
      <c r="BQ28">
        <v>7</v>
      </c>
      <c r="BR28">
        <f t="shared" si="6"/>
        <v>30</v>
      </c>
      <c r="BS28" t="str">
        <f t="shared" si="2"/>
        <v>AD</v>
      </c>
      <c r="BT28" t="str">
        <f>"    ActiveChart.FullSeriesCollection("&amp;BQ28&amp;").Values=""=Seabed_3ft!$"&amp;BS28&amp;"$4:$"&amp;BS28&amp;"$50000"""</f>
        <v xml:space="preserve">    ActiveChart.FullSeriesCollection(7).Values="=Seabed_3ft!$AD$4:$AD$50000"</v>
      </c>
      <c r="CC28" t="s">
        <v>172</v>
      </c>
      <c r="CK28">
        <v>7</v>
      </c>
      <c r="CL28">
        <f t="shared" si="5"/>
        <v>30</v>
      </c>
      <c r="CM28" t="str">
        <f t="shared" si="3"/>
        <v>AD</v>
      </c>
      <c r="CN28" t="str">
        <f>"    ActiveChart.FullSeriesCollection("&amp;CK28&amp;").Values=""=Seabed_3ft!$"&amp;CM28&amp;"$4:$"&amp;CM28&amp;"$50000"""</f>
        <v xml:space="preserve">    ActiveChart.FullSeriesCollection(7).Values="=Seabed_3ft!$AD$4:$AD$50000"</v>
      </c>
    </row>
    <row r="29" spans="1:92" x14ac:dyDescent="0.3">
      <c r="A29">
        <f>A28+1</f>
        <v>28</v>
      </c>
      <c r="B29">
        <v>1495609.82</v>
      </c>
      <c r="C29">
        <v>9782807.3499999996</v>
      </c>
      <c r="D29">
        <v>-3956.69</v>
      </c>
      <c r="E29">
        <f t="shared" si="0"/>
        <v>9.9930575907074974</v>
      </c>
      <c r="F29">
        <f t="shared" si="1"/>
        <v>450.08301743822227</v>
      </c>
      <c r="AT29" s="2"/>
      <c r="AU29" s="2"/>
      <c r="BH29" t="s">
        <v>60</v>
      </c>
      <c r="BQ29">
        <v>8</v>
      </c>
      <c r="BR29">
        <f t="shared" si="6"/>
        <v>32</v>
      </c>
      <c r="BS29" t="str">
        <f t="shared" si="2"/>
        <v>AF</v>
      </c>
      <c r="BT29" t="s">
        <v>60</v>
      </c>
      <c r="CC29" t="s">
        <v>60</v>
      </c>
      <c r="CK29">
        <v>8</v>
      </c>
      <c r="CL29">
        <f t="shared" si="5"/>
        <v>32</v>
      </c>
      <c r="CM29" t="str">
        <f t="shared" si="3"/>
        <v>AF</v>
      </c>
      <c r="CN29" t="s">
        <v>60</v>
      </c>
    </row>
    <row r="30" spans="1:92" x14ac:dyDescent="0.3">
      <c r="A30">
        <f>A29+1</f>
        <v>29</v>
      </c>
      <c r="B30">
        <v>1495605.78</v>
      </c>
      <c r="C30">
        <v>9782798.1999999993</v>
      </c>
      <c r="D30">
        <v>-3956.77</v>
      </c>
      <c r="E30">
        <f t="shared" si="0"/>
        <v>10.002204757308174</v>
      </c>
      <c r="F30">
        <f t="shared" si="1"/>
        <v>460.08522219553043</v>
      </c>
      <c r="AT30" s="2"/>
      <c r="AU30" s="2"/>
      <c r="BH30" t="s">
        <v>68</v>
      </c>
      <c r="BQ30">
        <v>8</v>
      </c>
      <c r="BR30">
        <f t="shared" si="6"/>
        <v>32</v>
      </c>
      <c r="BS30" t="str">
        <f t="shared" si="2"/>
        <v>AF</v>
      </c>
      <c r="BT30" t="str">
        <f>"    ActiveChart.FullSeriesCollection("&amp;BQ30&amp;").Name=""=Seabed_3ft!$"&amp;BS30&amp;"$2"""</f>
        <v xml:space="preserve">    ActiveChart.FullSeriesCollection(8).Name="=Seabed_3ft!$AF$2"</v>
      </c>
      <c r="CC30" t="s">
        <v>68</v>
      </c>
      <c r="CK30">
        <v>8</v>
      </c>
      <c r="CL30">
        <f t="shared" si="5"/>
        <v>32</v>
      </c>
      <c r="CM30" t="str">
        <f t="shared" si="3"/>
        <v>AF</v>
      </c>
      <c r="CN30" t="str">
        <f>"    ActiveChart.FullSeriesCollection("&amp;CK30&amp;").Name=""=Seabed_3ft!$"&amp;CM30&amp;"$2"""</f>
        <v xml:space="preserve">    ActiveChart.FullSeriesCollection(8).Name="=Seabed_3ft!$AF$2"</v>
      </c>
    </row>
    <row r="31" spans="1:92" x14ac:dyDescent="0.3">
      <c r="A31">
        <f>A30+1</f>
        <v>30</v>
      </c>
      <c r="B31">
        <v>1495601.74</v>
      </c>
      <c r="C31">
        <v>9782789.0500000007</v>
      </c>
      <c r="D31">
        <v>-3956.86</v>
      </c>
      <c r="E31">
        <f t="shared" si="0"/>
        <v>10.002204755604231</v>
      </c>
      <c r="F31">
        <f t="shared" si="1"/>
        <v>470.08742695113466</v>
      </c>
      <c r="AT31" s="2"/>
      <c r="AU31" s="2"/>
      <c r="BH31" t="s">
        <v>106</v>
      </c>
      <c r="BQ31">
        <v>8</v>
      </c>
      <c r="BR31">
        <f t="shared" si="6"/>
        <v>31</v>
      </c>
      <c r="BS31" t="str">
        <f t="shared" si="2"/>
        <v>AE</v>
      </c>
      <c r="BT31" t="str">
        <f>"    ActiveChart.FullSeriesCollection("&amp;BQ31&amp;").XValues=""=Seabed_3ft!$"&amp;BS31&amp;"$4:$"&amp;BS31&amp;"$50000"""</f>
        <v xml:space="preserve">    ActiveChart.FullSeriesCollection(8).XValues="=Seabed_3ft!$AE$4:$AE$50000"</v>
      </c>
      <c r="CC31" t="s">
        <v>173</v>
      </c>
      <c r="CK31">
        <v>8</v>
      </c>
      <c r="CL31">
        <f t="shared" si="5"/>
        <v>31</v>
      </c>
      <c r="CM31" t="str">
        <f t="shared" si="3"/>
        <v>AE</v>
      </c>
      <c r="CN31" t="str">
        <f>"    ActiveChart.FullSeriesCollection("&amp;CK31&amp;").XValues=""=Seabed_3ft!$"&amp;CM31&amp;"$4:$"&amp;CM31&amp;"$50000"""</f>
        <v xml:space="preserve">    ActiveChart.FullSeriesCollection(8).XValues="=Seabed_3ft!$AE$4:$AE$50000"</v>
      </c>
    </row>
    <row r="32" spans="1:92" x14ac:dyDescent="0.3">
      <c r="A32">
        <f>A31+1</f>
        <v>31</v>
      </c>
      <c r="B32">
        <v>1495597.7</v>
      </c>
      <c r="C32">
        <v>9782779.9000000004</v>
      </c>
      <c r="D32">
        <v>-3956.96</v>
      </c>
      <c r="E32">
        <f t="shared" si="0"/>
        <v>10.002204757308174</v>
      </c>
      <c r="F32">
        <f t="shared" si="1"/>
        <v>480.08963170844282</v>
      </c>
      <c r="AT32" s="2"/>
      <c r="AU32" s="2"/>
      <c r="BH32" t="s">
        <v>107</v>
      </c>
      <c r="BQ32">
        <v>8</v>
      </c>
      <c r="BR32">
        <f t="shared" si="6"/>
        <v>34</v>
      </c>
      <c r="BS32" t="str">
        <f t="shared" si="2"/>
        <v>AH</v>
      </c>
      <c r="BT32" t="str">
        <f>"    ActiveChart.FullSeriesCollection("&amp;BQ32&amp;").Values=""=Seabed_3ft!$"&amp;BS32&amp;"$4:$"&amp;BS32&amp;"$50000"""</f>
        <v xml:space="preserve">    ActiveChart.FullSeriesCollection(8).Values="=Seabed_3ft!$AH$4:$AH$50000"</v>
      </c>
      <c r="CC32" t="s">
        <v>174</v>
      </c>
      <c r="CK32">
        <v>8</v>
      </c>
      <c r="CL32">
        <f t="shared" si="5"/>
        <v>34</v>
      </c>
      <c r="CM32" t="str">
        <f t="shared" si="3"/>
        <v>AH</v>
      </c>
      <c r="CN32" t="str">
        <f>"    ActiveChart.FullSeriesCollection("&amp;CK32&amp;").Values=""=Seabed_3ft!$"&amp;CM32&amp;"$4:$"&amp;CM32&amp;"$50000"""</f>
        <v xml:space="preserve">    ActiveChart.FullSeriesCollection(8).Values="=Seabed_3ft!$AH$4:$AH$50000"</v>
      </c>
    </row>
    <row r="33" spans="1:92" x14ac:dyDescent="0.3">
      <c r="A33">
        <f>A32+1</f>
        <v>32</v>
      </c>
      <c r="B33">
        <v>1495593.65</v>
      </c>
      <c r="C33">
        <v>9782770.7599999998</v>
      </c>
      <c r="D33">
        <v>-3957.07</v>
      </c>
      <c r="E33">
        <f t="shared" si="0"/>
        <v>9.9971045813912003</v>
      </c>
      <c r="F33">
        <f t="shared" si="1"/>
        <v>490.08673628983405</v>
      </c>
      <c r="AT33" s="2"/>
      <c r="AU33" s="2"/>
      <c r="BH33" t="s">
        <v>60</v>
      </c>
      <c r="BQ33">
        <v>9</v>
      </c>
      <c r="BR33">
        <f t="shared" si="6"/>
        <v>36</v>
      </c>
      <c r="BS33" t="str">
        <f t="shared" si="2"/>
        <v>AJ</v>
      </c>
      <c r="BT33" t="s">
        <v>60</v>
      </c>
      <c r="CC33" t="s">
        <v>60</v>
      </c>
      <c r="CK33">
        <v>9</v>
      </c>
      <c r="CL33">
        <f t="shared" si="5"/>
        <v>36</v>
      </c>
      <c r="CM33" t="str">
        <f t="shared" si="3"/>
        <v>AJ</v>
      </c>
      <c r="CN33" t="s">
        <v>60</v>
      </c>
    </row>
    <row r="34" spans="1:92" x14ac:dyDescent="0.3">
      <c r="A34">
        <f>A33+1</f>
        <v>33</v>
      </c>
      <c r="B34">
        <v>1495589.61</v>
      </c>
      <c r="C34">
        <v>9782761.6099999994</v>
      </c>
      <c r="D34">
        <v>-3957.12</v>
      </c>
      <c r="E34">
        <f t="shared" si="0"/>
        <v>10.002204757214132</v>
      </c>
      <c r="F34">
        <f t="shared" si="1"/>
        <v>500.08894104704819</v>
      </c>
      <c r="BH34" t="s">
        <v>69</v>
      </c>
      <c r="BQ34">
        <v>9</v>
      </c>
      <c r="BR34">
        <f t="shared" si="6"/>
        <v>36</v>
      </c>
      <c r="BS34" t="str">
        <f t="shared" si="2"/>
        <v>AJ</v>
      </c>
      <c r="BT34" t="str">
        <f>"    ActiveChart.FullSeriesCollection("&amp;BQ34&amp;").Name=""=Seabed_3ft!$"&amp;BS34&amp;"$2"""</f>
        <v xml:space="preserve">    ActiveChart.FullSeriesCollection(9).Name="=Seabed_3ft!$AJ$2"</v>
      </c>
      <c r="CC34" t="s">
        <v>69</v>
      </c>
      <c r="CK34">
        <v>9</v>
      </c>
      <c r="CL34">
        <f t="shared" si="5"/>
        <v>36</v>
      </c>
      <c r="CM34" t="str">
        <f t="shared" si="3"/>
        <v>AJ</v>
      </c>
      <c r="CN34" t="str">
        <f>"    ActiveChart.FullSeriesCollection("&amp;CK34&amp;").Name=""=Seabed_3ft!$"&amp;CM34&amp;"$2"""</f>
        <v xml:space="preserve">    ActiveChart.FullSeriesCollection(9).Name="=Seabed_3ft!$AJ$2"</v>
      </c>
    </row>
    <row r="35" spans="1:92" x14ac:dyDescent="0.3">
      <c r="BH35" t="s">
        <v>108</v>
      </c>
      <c r="BQ35">
        <v>9</v>
      </c>
      <c r="BR35">
        <f t="shared" si="6"/>
        <v>35</v>
      </c>
      <c r="BS35" t="str">
        <f t="shared" si="2"/>
        <v>AI</v>
      </c>
      <c r="BT35" t="str">
        <f>"    ActiveChart.FullSeriesCollection("&amp;BQ35&amp;").XValues=""=Seabed_3ft!$"&amp;BS35&amp;"$4:$"&amp;BS35&amp;"$50000"""</f>
        <v xml:space="preserve">    ActiveChart.FullSeriesCollection(9).XValues="=Seabed_3ft!$AI$4:$AI$50000"</v>
      </c>
      <c r="CC35" t="s">
        <v>175</v>
      </c>
      <c r="CK35">
        <v>9</v>
      </c>
      <c r="CL35">
        <f t="shared" si="5"/>
        <v>35</v>
      </c>
      <c r="CM35" t="str">
        <f t="shared" si="3"/>
        <v>AI</v>
      </c>
      <c r="CN35" t="str">
        <f>"    ActiveChart.FullSeriesCollection("&amp;CK35&amp;").XValues=""=Seabed_3ft!$"&amp;CM35&amp;"$4:$"&amp;CM35&amp;"$50000"""</f>
        <v xml:space="preserve">    ActiveChart.FullSeriesCollection(9).XValues="=Seabed_3ft!$AI$4:$AI$50000"</v>
      </c>
    </row>
    <row r="36" spans="1:92" x14ac:dyDescent="0.3">
      <c r="BH36" t="s">
        <v>109</v>
      </c>
      <c r="BQ36">
        <v>9</v>
      </c>
      <c r="BR36">
        <f t="shared" si="6"/>
        <v>38</v>
      </c>
      <c r="BS36" t="str">
        <f t="shared" si="2"/>
        <v>AL</v>
      </c>
      <c r="BT36" t="str">
        <f>"    ActiveChart.FullSeriesCollection("&amp;BQ36&amp;").Values=""=Seabed_3ft!$"&amp;BS36&amp;"$4:$"&amp;BS36&amp;"$50000"""</f>
        <v xml:space="preserve">    ActiveChart.FullSeriesCollection(9).Values="=Seabed_3ft!$AL$4:$AL$50000"</v>
      </c>
      <c r="CC36" t="s">
        <v>176</v>
      </c>
      <c r="CK36">
        <v>9</v>
      </c>
      <c r="CL36">
        <f t="shared" si="5"/>
        <v>38</v>
      </c>
      <c r="CM36" t="str">
        <f t="shared" si="3"/>
        <v>AL</v>
      </c>
      <c r="CN36" t="str">
        <f>"    ActiveChart.FullSeriesCollection("&amp;CK36&amp;").Values=""=Seabed_3ft!$"&amp;CM36&amp;"$4:$"&amp;CM36&amp;"$50000"""</f>
        <v xml:space="preserve">    ActiveChart.FullSeriesCollection(9).Values="=Seabed_3ft!$AL$4:$AL$50000"</v>
      </c>
    </row>
    <row r="37" spans="1:92" x14ac:dyDescent="0.3">
      <c r="BH37" t="s">
        <v>60</v>
      </c>
      <c r="BQ37">
        <v>10</v>
      </c>
      <c r="BR37">
        <f t="shared" si="6"/>
        <v>40</v>
      </c>
      <c r="BS37" t="str">
        <f t="shared" si="2"/>
        <v>AN</v>
      </c>
      <c r="BT37" t="s">
        <v>60</v>
      </c>
      <c r="CC37" t="s">
        <v>60</v>
      </c>
      <c r="CK37">
        <v>10</v>
      </c>
      <c r="CL37">
        <f t="shared" si="5"/>
        <v>40</v>
      </c>
      <c r="CM37" t="str">
        <f t="shared" si="3"/>
        <v>AN</v>
      </c>
      <c r="CN37" t="s">
        <v>60</v>
      </c>
    </row>
    <row r="38" spans="1:92" x14ac:dyDescent="0.3">
      <c r="BH38" t="s">
        <v>70</v>
      </c>
      <c r="BQ38">
        <v>10</v>
      </c>
      <c r="BR38">
        <f t="shared" si="6"/>
        <v>40</v>
      </c>
      <c r="BS38" t="str">
        <f t="shared" si="2"/>
        <v>AN</v>
      </c>
      <c r="BT38" t="str">
        <f>"    ActiveChart.FullSeriesCollection("&amp;BQ38&amp;").Name=""=Seabed_3ft!$"&amp;BS38&amp;"$2"""</f>
        <v xml:space="preserve">    ActiveChart.FullSeriesCollection(10).Name="=Seabed_3ft!$AN$2"</v>
      </c>
      <c r="CC38" t="s">
        <v>70</v>
      </c>
      <c r="CK38">
        <v>10</v>
      </c>
      <c r="CL38">
        <f t="shared" si="5"/>
        <v>40</v>
      </c>
      <c r="CM38" t="str">
        <f t="shared" si="3"/>
        <v>AN</v>
      </c>
      <c r="CN38" t="str">
        <f>"    ActiveChart.FullSeriesCollection("&amp;CK38&amp;").Name=""=Seabed_3ft!$"&amp;CM38&amp;"$2"""</f>
        <v xml:space="preserve">    ActiveChart.FullSeriesCollection(10).Name="=Seabed_3ft!$AN$2"</v>
      </c>
    </row>
    <row r="39" spans="1:92" x14ac:dyDescent="0.3">
      <c r="BH39" t="s">
        <v>110</v>
      </c>
      <c r="BQ39">
        <v>10</v>
      </c>
      <c r="BR39">
        <f t="shared" si="6"/>
        <v>39</v>
      </c>
      <c r="BS39" t="str">
        <f t="shared" si="2"/>
        <v>AM</v>
      </c>
      <c r="BT39" t="str">
        <f>"    ActiveChart.FullSeriesCollection("&amp;BQ39&amp;").XValues=""=Seabed_3ft!$"&amp;BS39&amp;"$4:$"&amp;BS39&amp;"$50000"""</f>
        <v xml:space="preserve">    ActiveChart.FullSeriesCollection(10).XValues="=Seabed_3ft!$AM$4:$AM$50000"</v>
      </c>
      <c r="CC39" t="s">
        <v>177</v>
      </c>
      <c r="CK39">
        <v>10</v>
      </c>
      <c r="CL39">
        <f t="shared" si="5"/>
        <v>39</v>
      </c>
      <c r="CM39" t="str">
        <f t="shared" si="3"/>
        <v>AM</v>
      </c>
      <c r="CN39" t="str">
        <f>"    ActiveChart.FullSeriesCollection("&amp;CK39&amp;").XValues=""=Seabed_3ft!$"&amp;CM39&amp;"$4:$"&amp;CM39&amp;"$50000"""</f>
        <v xml:space="preserve">    ActiveChart.FullSeriesCollection(10).XValues="=Seabed_3ft!$AM$4:$AM$50000"</v>
      </c>
    </row>
    <row r="40" spans="1:92" x14ac:dyDescent="0.3">
      <c r="BH40" t="s">
        <v>111</v>
      </c>
      <c r="BQ40">
        <v>10</v>
      </c>
      <c r="BR40">
        <f t="shared" si="6"/>
        <v>42</v>
      </c>
      <c r="BS40" t="str">
        <f t="shared" si="2"/>
        <v>AP</v>
      </c>
      <c r="BT40" t="str">
        <f>"    ActiveChart.FullSeriesCollection("&amp;BQ40&amp;").Values=""=Seabed_3ft!$"&amp;BS40&amp;"$4:$"&amp;BS40&amp;"$50000"""</f>
        <v xml:space="preserve">    ActiveChart.FullSeriesCollection(10).Values="=Seabed_3ft!$AP$4:$AP$50000"</v>
      </c>
      <c r="CC40" t="s">
        <v>178</v>
      </c>
      <c r="CK40">
        <v>10</v>
      </c>
      <c r="CL40">
        <f t="shared" si="5"/>
        <v>42</v>
      </c>
      <c r="CM40" t="str">
        <f t="shared" si="3"/>
        <v>AP</v>
      </c>
      <c r="CN40" t="str">
        <f>"    ActiveChart.FullSeriesCollection("&amp;CK40&amp;").Values=""=Seabed_3ft!$"&amp;CM40&amp;"$4:$"&amp;CM40&amp;"$50000"""</f>
        <v xml:space="preserve">    ActiveChart.FullSeriesCollection(10).Values="=Seabed_3ft!$AP$4:$AP$50000"</v>
      </c>
    </row>
    <row r="41" spans="1:92" x14ac:dyDescent="0.3">
      <c r="BH41" t="s">
        <v>60</v>
      </c>
      <c r="BQ41">
        <v>11</v>
      </c>
      <c r="BR41">
        <f t="shared" si="6"/>
        <v>44</v>
      </c>
      <c r="BS41" t="str">
        <f t="shared" si="2"/>
        <v>AR</v>
      </c>
      <c r="BT41" t="s">
        <v>60</v>
      </c>
      <c r="CC41" t="s">
        <v>60</v>
      </c>
      <c r="CK41">
        <v>11</v>
      </c>
      <c r="CL41">
        <f t="shared" si="5"/>
        <v>44</v>
      </c>
      <c r="CM41" t="str">
        <f t="shared" si="3"/>
        <v>AR</v>
      </c>
      <c r="CN41" t="s">
        <v>60</v>
      </c>
    </row>
    <row r="42" spans="1:92" x14ac:dyDescent="0.3">
      <c r="BH42" t="s">
        <v>71</v>
      </c>
      <c r="BQ42">
        <v>11</v>
      </c>
      <c r="BR42">
        <f t="shared" si="6"/>
        <v>44</v>
      </c>
      <c r="BS42" t="str">
        <f t="shared" si="2"/>
        <v>AR</v>
      </c>
      <c r="BT42" t="str">
        <f>"    ActiveChart.FullSeriesCollection("&amp;BQ42&amp;").Name=""=Seabed_3ft!$"&amp;BS42&amp;"$2"""</f>
        <v xml:space="preserve">    ActiveChart.FullSeriesCollection(11).Name="=Seabed_3ft!$AR$2"</v>
      </c>
      <c r="CC42" t="s">
        <v>71</v>
      </c>
      <c r="CK42">
        <v>11</v>
      </c>
      <c r="CL42">
        <f t="shared" si="5"/>
        <v>44</v>
      </c>
      <c r="CM42" t="str">
        <f t="shared" si="3"/>
        <v>AR</v>
      </c>
      <c r="CN42" t="str">
        <f>"    ActiveChart.FullSeriesCollection("&amp;CK42&amp;").Name=""=Seabed_3ft!$"&amp;CM42&amp;"$2"""</f>
        <v xml:space="preserve">    ActiveChart.FullSeriesCollection(11).Name="=Seabed_3ft!$AR$2"</v>
      </c>
    </row>
    <row r="43" spans="1:92" x14ac:dyDescent="0.3">
      <c r="BH43" t="s">
        <v>112</v>
      </c>
      <c r="BQ43">
        <v>11</v>
      </c>
      <c r="BR43">
        <f t="shared" si="6"/>
        <v>43</v>
      </c>
      <c r="BS43" t="str">
        <f t="shared" si="2"/>
        <v>AQ</v>
      </c>
      <c r="BT43" t="str">
        <f>"    ActiveChart.FullSeriesCollection("&amp;BQ43&amp;").XValues=""=Seabed_3ft!$"&amp;BS43&amp;"$4:$"&amp;BS43&amp;"$50000"""</f>
        <v xml:space="preserve">    ActiveChart.FullSeriesCollection(11).XValues="=Seabed_3ft!$AQ$4:$AQ$50000"</v>
      </c>
      <c r="CC43" t="s">
        <v>179</v>
      </c>
      <c r="CK43">
        <v>11</v>
      </c>
      <c r="CL43">
        <f t="shared" si="5"/>
        <v>43</v>
      </c>
      <c r="CM43" t="str">
        <f t="shared" si="3"/>
        <v>AQ</v>
      </c>
      <c r="CN43" t="str">
        <f>"    ActiveChart.FullSeriesCollection("&amp;CK43&amp;").XValues=""=Seabed_3ft!$"&amp;CM43&amp;"$4:$"&amp;CM43&amp;"$50000"""</f>
        <v xml:space="preserve">    ActiveChart.FullSeriesCollection(11).XValues="=Seabed_3ft!$AQ$4:$AQ$50000"</v>
      </c>
    </row>
    <row r="44" spans="1:92" x14ac:dyDescent="0.3">
      <c r="BH44" t="s">
        <v>113</v>
      </c>
      <c r="BQ44">
        <v>11</v>
      </c>
      <c r="BR44">
        <f t="shared" si="6"/>
        <v>46</v>
      </c>
      <c r="BS44" t="str">
        <f t="shared" si="2"/>
        <v>AT</v>
      </c>
      <c r="BT44" t="str">
        <f>"    ActiveChart.FullSeriesCollection("&amp;BQ44&amp;").Values=""=Seabed_3ft!$"&amp;BS44&amp;"$4:$"&amp;BS44&amp;"$50000"""</f>
        <v xml:space="preserve">    ActiveChart.FullSeriesCollection(11).Values="=Seabed_3ft!$AT$4:$AT$50000"</v>
      </c>
      <c r="CC44" t="s">
        <v>180</v>
      </c>
      <c r="CK44">
        <v>11</v>
      </c>
      <c r="CL44">
        <f t="shared" si="5"/>
        <v>46</v>
      </c>
      <c r="CM44" t="str">
        <f t="shared" si="3"/>
        <v>AT</v>
      </c>
      <c r="CN44" t="str">
        <f>"    ActiveChart.FullSeriesCollection("&amp;CK44&amp;").Values=""=Seabed_3ft!$"&amp;CM44&amp;"$4:$"&amp;CM44&amp;"$50000"""</f>
        <v xml:space="preserve">    ActiveChart.FullSeriesCollection(11).Values="=Seabed_3ft!$AT$4:$AT$50000"</v>
      </c>
    </row>
    <row r="45" spans="1:92" x14ac:dyDescent="0.3">
      <c r="BH45" t="s">
        <v>60</v>
      </c>
      <c r="BQ45">
        <v>12</v>
      </c>
      <c r="BR45">
        <f t="shared" si="6"/>
        <v>48</v>
      </c>
      <c r="BS45" t="str">
        <f t="shared" si="2"/>
        <v>AV</v>
      </c>
      <c r="BT45" t="s">
        <v>60</v>
      </c>
      <c r="CC45" t="s">
        <v>60</v>
      </c>
      <c r="CK45">
        <v>12</v>
      </c>
      <c r="CL45">
        <f t="shared" si="5"/>
        <v>48</v>
      </c>
      <c r="CM45" t="str">
        <f t="shared" si="3"/>
        <v>AV</v>
      </c>
      <c r="CN45" t="s">
        <v>60</v>
      </c>
    </row>
    <row r="46" spans="1:92" x14ac:dyDescent="0.3">
      <c r="BH46" t="s">
        <v>72</v>
      </c>
      <c r="BQ46">
        <v>12</v>
      </c>
      <c r="BR46">
        <f t="shared" si="6"/>
        <v>48</v>
      </c>
      <c r="BS46" t="str">
        <f t="shared" si="2"/>
        <v>AV</v>
      </c>
      <c r="BT46" t="str">
        <f>"    ActiveChart.FullSeriesCollection("&amp;BQ46&amp;").Name=""=Seabed_3ft!$"&amp;BS46&amp;"$2"""</f>
        <v xml:space="preserve">    ActiveChart.FullSeriesCollection(12).Name="=Seabed_3ft!$AV$2"</v>
      </c>
      <c r="CC46" t="s">
        <v>72</v>
      </c>
      <c r="CK46">
        <v>12</v>
      </c>
      <c r="CL46">
        <f t="shared" si="5"/>
        <v>48</v>
      </c>
      <c r="CM46" t="str">
        <f t="shared" si="3"/>
        <v>AV</v>
      </c>
      <c r="CN46" t="str">
        <f>"    ActiveChart.FullSeriesCollection("&amp;CK46&amp;").Name=""=Seabed_3ft!$"&amp;CM46&amp;"$2"""</f>
        <v xml:space="preserve">    ActiveChart.FullSeriesCollection(12).Name="=Seabed_3ft!$AV$2"</v>
      </c>
    </row>
    <row r="47" spans="1:92" x14ac:dyDescent="0.3">
      <c r="BH47" t="s">
        <v>114</v>
      </c>
      <c r="BQ47">
        <v>12</v>
      </c>
      <c r="BR47">
        <f t="shared" si="6"/>
        <v>47</v>
      </c>
      <c r="BS47" t="str">
        <f t="shared" si="2"/>
        <v>AU</v>
      </c>
      <c r="BT47" t="str">
        <f>"    ActiveChart.FullSeriesCollection("&amp;BQ47&amp;").XValues=""=Seabed_3ft!$"&amp;BS47&amp;"$4:$"&amp;BS47&amp;"$50000"""</f>
        <v xml:space="preserve">    ActiveChart.FullSeriesCollection(12).XValues="=Seabed_3ft!$AU$4:$AU$50000"</v>
      </c>
      <c r="CC47" t="s">
        <v>181</v>
      </c>
      <c r="CK47">
        <v>12</v>
      </c>
      <c r="CL47">
        <f t="shared" si="5"/>
        <v>47</v>
      </c>
      <c r="CM47" t="str">
        <f t="shared" si="3"/>
        <v>AU</v>
      </c>
      <c r="CN47" t="str">
        <f>"    ActiveChart.FullSeriesCollection("&amp;CK47&amp;").XValues=""=Seabed_3ft!$"&amp;CM47&amp;"$4:$"&amp;CM47&amp;"$50000"""</f>
        <v xml:space="preserve">    ActiveChart.FullSeriesCollection(12).XValues="=Seabed_3ft!$AU$4:$AU$50000"</v>
      </c>
    </row>
    <row r="48" spans="1:92" x14ac:dyDescent="0.3">
      <c r="BH48" t="s">
        <v>115</v>
      </c>
      <c r="BQ48">
        <v>12</v>
      </c>
      <c r="BR48">
        <f t="shared" si="6"/>
        <v>50</v>
      </c>
      <c r="BS48" t="str">
        <f t="shared" si="2"/>
        <v>AX</v>
      </c>
      <c r="BT48" t="str">
        <f>"    ActiveChart.FullSeriesCollection("&amp;BQ48&amp;").Values=""=Seabed_3ft!$"&amp;BS48&amp;"$4:$"&amp;BS48&amp;"$50000"""</f>
        <v xml:space="preserve">    ActiveChart.FullSeriesCollection(12).Values="=Seabed_3ft!$AX$4:$AX$50000"</v>
      </c>
      <c r="CC48" t="s">
        <v>182</v>
      </c>
      <c r="CK48">
        <v>12</v>
      </c>
      <c r="CL48">
        <f t="shared" si="5"/>
        <v>50</v>
      </c>
      <c r="CM48" t="str">
        <f t="shared" si="3"/>
        <v>AX</v>
      </c>
      <c r="CN48" t="str">
        <f>"    ActiveChart.FullSeriesCollection("&amp;CK48&amp;").Values=""=Seabed_3ft!$"&amp;CM48&amp;"$4:$"&amp;CM48&amp;"$50000"""</f>
        <v xml:space="preserve">    ActiveChart.FullSeriesCollection(12).Values="=Seabed_3ft!$AX$4:$AX$50000"</v>
      </c>
    </row>
    <row r="49" spans="60:92" x14ac:dyDescent="0.3">
      <c r="BH49" t="s">
        <v>60</v>
      </c>
      <c r="BQ49">
        <v>13</v>
      </c>
      <c r="BR49">
        <f t="shared" si="6"/>
        <v>52</v>
      </c>
      <c r="BS49" t="str">
        <f t="shared" si="2"/>
        <v>AZ</v>
      </c>
      <c r="BT49" t="s">
        <v>60</v>
      </c>
      <c r="CC49" t="s">
        <v>60</v>
      </c>
      <c r="CK49">
        <v>13</v>
      </c>
      <c r="CL49">
        <f t="shared" si="5"/>
        <v>52</v>
      </c>
      <c r="CM49" t="str">
        <f t="shared" si="3"/>
        <v>AZ</v>
      </c>
      <c r="CN49" t="s">
        <v>60</v>
      </c>
    </row>
    <row r="50" spans="60:92" x14ac:dyDescent="0.3">
      <c r="BH50" t="s">
        <v>73</v>
      </c>
      <c r="BQ50">
        <v>13</v>
      </c>
      <c r="BR50">
        <f t="shared" si="6"/>
        <v>52</v>
      </c>
      <c r="BS50" t="str">
        <f t="shared" si="2"/>
        <v>AZ</v>
      </c>
      <c r="BT50" t="str">
        <f>"    ActiveChart.FullSeriesCollection("&amp;BQ50&amp;").Name=""=Seabed_3ft!$"&amp;BS50&amp;"$2"""</f>
        <v xml:space="preserve">    ActiveChart.FullSeriesCollection(13).Name="=Seabed_3ft!$AZ$2"</v>
      </c>
      <c r="CC50" t="s">
        <v>73</v>
      </c>
      <c r="CK50">
        <v>13</v>
      </c>
      <c r="CL50">
        <f t="shared" si="5"/>
        <v>52</v>
      </c>
      <c r="CM50" t="str">
        <f t="shared" si="3"/>
        <v>AZ</v>
      </c>
      <c r="CN50" t="str">
        <f>"    ActiveChart.FullSeriesCollection("&amp;CK50&amp;").Name=""=Seabed_3ft!$"&amp;CM50&amp;"$2"""</f>
        <v xml:space="preserve">    ActiveChart.FullSeriesCollection(13).Name="=Seabed_3ft!$AZ$2"</v>
      </c>
    </row>
    <row r="51" spans="60:92" x14ac:dyDescent="0.3">
      <c r="BH51" t="s">
        <v>116</v>
      </c>
      <c r="BQ51">
        <v>13</v>
      </c>
      <c r="BR51">
        <f t="shared" si="6"/>
        <v>51</v>
      </c>
      <c r="BS51" t="str">
        <f t="shared" si="2"/>
        <v>AY</v>
      </c>
      <c r="BT51" t="str">
        <f>"    ActiveChart.FullSeriesCollection("&amp;BQ51&amp;").XValues=""=Seabed_3ft!$"&amp;BS51&amp;"$4:$"&amp;BS51&amp;"$50000"""</f>
        <v xml:space="preserve">    ActiveChart.FullSeriesCollection(13).XValues="=Seabed_3ft!$AY$4:$AY$50000"</v>
      </c>
      <c r="CC51" t="s">
        <v>183</v>
      </c>
      <c r="CK51">
        <v>13</v>
      </c>
      <c r="CL51">
        <f t="shared" si="5"/>
        <v>51</v>
      </c>
      <c r="CM51" t="str">
        <f t="shared" si="3"/>
        <v>AY</v>
      </c>
      <c r="CN51" t="str">
        <f>"    ActiveChart.FullSeriesCollection("&amp;CK51&amp;").XValues=""=Seabed_3ft!$"&amp;CM51&amp;"$4:$"&amp;CM51&amp;"$50000"""</f>
        <v xml:space="preserve">    ActiveChart.FullSeriesCollection(13).XValues="=Seabed_3ft!$AY$4:$AY$50000"</v>
      </c>
    </row>
    <row r="52" spans="60:92" x14ac:dyDescent="0.3">
      <c r="BH52" t="s">
        <v>117</v>
      </c>
      <c r="BQ52">
        <v>13</v>
      </c>
      <c r="BR52">
        <f t="shared" si="6"/>
        <v>54</v>
      </c>
      <c r="BS52" t="str">
        <f t="shared" si="2"/>
        <v>BB</v>
      </c>
      <c r="BT52" t="str">
        <f>"    ActiveChart.FullSeriesCollection("&amp;BQ52&amp;").Values=""=Seabed_3ft!$"&amp;BS52&amp;"$4:$"&amp;BS52&amp;"$50000"""</f>
        <v xml:space="preserve">    ActiveChart.FullSeriesCollection(13).Values="=Seabed_3ft!$BB$4:$BB$50000"</v>
      </c>
      <c r="CC52" t="s">
        <v>184</v>
      </c>
      <c r="CK52">
        <v>13</v>
      </c>
      <c r="CL52">
        <f t="shared" si="5"/>
        <v>54</v>
      </c>
      <c r="CM52" t="str">
        <f t="shared" si="3"/>
        <v>BB</v>
      </c>
      <c r="CN52" t="str">
        <f>"    ActiveChart.FullSeriesCollection("&amp;CK52&amp;").Values=""=Seabed_3ft!$"&amp;CM52&amp;"$4:$"&amp;CM52&amp;"$50000"""</f>
        <v xml:space="preserve">    ActiveChart.FullSeriesCollection(13).Values="=Seabed_3ft!$BB$4:$BB$50000"</v>
      </c>
    </row>
    <row r="53" spans="60:92" x14ac:dyDescent="0.3">
      <c r="BH53" t="s">
        <v>60</v>
      </c>
      <c r="BQ53">
        <v>14</v>
      </c>
      <c r="BR53">
        <f t="shared" si="6"/>
        <v>56</v>
      </c>
      <c r="BS53" t="str">
        <f t="shared" si="2"/>
        <v>BD</v>
      </c>
      <c r="BT53" t="s">
        <v>60</v>
      </c>
      <c r="CK53">
        <v>14</v>
      </c>
      <c r="CL53">
        <f t="shared" si="5"/>
        <v>56</v>
      </c>
      <c r="CM53" t="str">
        <f t="shared" si="3"/>
        <v>BD</v>
      </c>
      <c r="CN53" t="s">
        <v>60</v>
      </c>
    </row>
    <row r="54" spans="60:92" x14ac:dyDescent="0.3">
      <c r="BH54" t="s">
        <v>74</v>
      </c>
      <c r="BQ54">
        <v>14</v>
      </c>
      <c r="BR54">
        <f t="shared" si="6"/>
        <v>56</v>
      </c>
      <c r="BS54" t="str">
        <f t="shared" si="2"/>
        <v>BD</v>
      </c>
      <c r="BT54" t="str">
        <f>"    ActiveChart.FullSeriesCollection("&amp;BQ54&amp;").Name=""=Seabed_3ft!$"&amp;BS54&amp;"$2"""</f>
        <v xml:space="preserve">    ActiveChart.FullSeriesCollection(14).Name="=Seabed_3ft!$BD$2"</v>
      </c>
      <c r="CK54">
        <v>14</v>
      </c>
      <c r="CL54">
        <f t="shared" si="5"/>
        <v>56</v>
      </c>
      <c r="CM54" t="str">
        <f t="shared" si="3"/>
        <v>BD</v>
      </c>
      <c r="CN54" t="str">
        <f>"    ActiveChart.FullSeriesCollection("&amp;CK54&amp;").Name=""=Seabed_3ft!$"&amp;CM54&amp;"$2"""</f>
        <v xml:space="preserve">    ActiveChart.FullSeriesCollection(14).Name="=Seabed_3ft!$BD$2"</v>
      </c>
    </row>
    <row r="55" spans="60:92" x14ac:dyDescent="0.3">
      <c r="BH55" t="s">
        <v>155</v>
      </c>
      <c r="BQ55">
        <v>14</v>
      </c>
      <c r="BR55">
        <f t="shared" si="6"/>
        <v>55</v>
      </c>
      <c r="BS55" t="str">
        <f t="shared" si="2"/>
        <v>BC</v>
      </c>
      <c r="BT55" t="str">
        <f>"    ActiveChart.FullSeriesCollection("&amp;BQ55&amp;").XValues=""=Seabed_3ft!$"&amp;BS55&amp;"$4:$"&amp;BS55&amp;"$50000"""</f>
        <v xml:space="preserve">    ActiveChart.FullSeriesCollection(14).XValues="=Seabed_3ft!$BC$4:$BC$50000"</v>
      </c>
      <c r="CK55">
        <v>14</v>
      </c>
      <c r="CL55">
        <f t="shared" si="5"/>
        <v>55</v>
      </c>
      <c r="CM55" t="str">
        <f t="shared" si="3"/>
        <v>BC</v>
      </c>
      <c r="CN55" t="str">
        <f>"    ActiveChart.FullSeriesCollection("&amp;CK55&amp;").XValues=""=Seabed_3ft!$"&amp;CM55&amp;"$4:$"&amp;CM55&amp;"$50000"""</f>
        <v xml:space="preserve">    ActiveChart.FullSeriesCollection(14).XValues="=Seabed_3ft!$BC$4:$BC$50000"</v>
      </c>
    </row>
    <row r="56" spans="60:92" x14ac:dyDescent="0.3">
      <c r="BH56" t="s">
        <v>156</v>
      </c>
      <c r="BQ56">
        <v>14</v>
      </c>
      <c r="BR56">
        <f t="shared" si="6"/>
        <v>58</v>
      </c>
      <c r="BS56" t="str">
        <f t="shared" si="2"/>
        <v>BF</v>
      </c>
      <c r="BT56" t="str">
        <f>"    ActiveChart.FullSeriesCollection("&amp;BQ56&amp;").Values=""=Seabed_3ft!$"&amp;BS56&amp;"$4:$"&amp;BS56&amp;"$50000"""</f>
        <v xml:space="preserve">    ActiveChart.FullSeriesCollection(14).Values="=Seabed_3ft!$BF$4:$BF$50000"</v>
      </c>
      <c r="CK56">
        <v>14</v>
      </c>
      <c r="CL56">
        <f t="shared" si="5"/>
        <v>58</v>
      </c>
      <c r="CM56" t="str">
        <f t="shared" si="3"/>
        <v>BF</v>
      </c>
      <c r="CN56" t="str">
        <f>"    ActiveChart.FullSeriesCollection("&amp;CK56&amp;").Values=""=Seabed_3ft!$"&amp;CM56&amp;"$4:$"&amp;CM56&amp;"$50000"""</f>
        <v xml:space="preserve">    ActiveChart.FullSeriesCollection(14).Values="=Seabed_3ft!$BF$4:$BF$50000"</v>
      </c>
    </row>
    <row r="57" spans="60:92" x14ac:dyDescent="0.3">
      <c r="BH57" t="s">
        <v>60</v>
      </c>
      <c r="BQ57">
        <v>15</v>
      </c>
      <c r="BR57">
        <f t="shared" si="6"/>
        <v>60</v>
      </c>
      <c r="BS57" t="str">
        <f t="shared" si="2"/>
        <v>BH</v>
      </c>
      <c r="BT57" t="s">
        <v>60</v>
      </c>
      <c r="CK57">
        <v>15</v>
      </c>
      <c r="CL57">
        <f t="shared" si="5"/>
        <v>60</v>
      </c>
      <c r="CM57" t="str">
        <f t="shared" si="3"/>
        <v>BH</v>
      </c>
      <c r="CN57" t="s">
        <v>60</v>
      </c>
    </row>
    <row r="58" spans="60:92" x14ac:dyDescent="0.3">
      <c r="BH58" t="s">
        <v>75</v>
      </c>
      <c r="BQ58">
        <v>15</v>
      </c>
      <c r="BR58">
        <f t="shared" si="6"/>
        <v>60</v>
      </c>
      <c r="BS58" t="str">
        <f t="shared" si="2"/>
        <v>BH</v>
      </c>
      <c r="BT58" t="str">
        <f>"    ActiveChart.FullSeriesCollection("&amp;BQ58&amp;").Name=""=Seabed_3ft!$"&amp;BS58&amp;"$2"""</f>
        <v xml:space="preserve">    ActiveChart.FullSeriesCollection(15).Name="=Seabed_3ft!$BH$2"</v>
      </c>
      <c r="CK58">
        <v>15</v>
      </c>
      <c r="CL58">
        <f t="shared" si="5"/>
        <v>60</v>
      </c>
      <c r="CM58" t="str">
        <f t="shared" si="3"/>
        <v>BH</v>
      </c>
      <c r="CN58" t="str">
        <f>"    ActiveChart.FullSeriesCollection("&amp;CK58&amp;").Name=""=Seabed_3ft!$"&amp;CM58&amp;"$2"""</f>
        <v xml:space="preserve">    ActiveChart.FullSeriesCollection(15).Name="=Seabed_3ft!$BH$2"</v>
      </c>
    </row>
    <row r="59" spans="60:92" x14ac:dyDescent="0.3">
      <c r="BH59" t="s">
        <v>118</v>
      </c>
      <c r="BQ59">
        <v>15</v>
      </c>
      <c r="BR59">
        <f t="shared" si="6"/>
        <v>59</v>
      </c>
      <c r="BS59" t="str">
        <f t="shared" si="2"/>
        <v>BG</v>
      </c>
      <c r="BT59" t="str">
        <f>"    ActiveChart.FullSeriesCollection("&amp;BQ59&amp;").XValues=""=Seabed_3ft!$"&amp;BS59&amp;"$4:$"&amp;BS59&amp;"$50000"""</f>
        <v xml:space="preserve">    ActiveChart.FullSeriesCollection(15).XValues="=Seabed_3ft!$BG$4:$BG$50000"</v>
      </c>
      <c r="CK59">
        <v>15</v>
      </c>
      <c r="CL59">
        <f t="shared" si="5"/>
        <v>59</v>
      </c>
      <c r="CM59" t="str">
        <f t="shared" si="3"/>
        <v>BG</v>
      </c>
      <c r="CN59" t="str">
        <f>"    ActiveChart.FullSeriesCollection("&amp;CK59&amp;").XValues=""=Seabed_3ft!$"&amp;CM59&amp;"$4:$"&amp;CM59&amp;"$50000"""</f>
        <v xml:space="preserve">    ActiveChart.FullSeriesCollection(15).XValues="=Seabed_3ft!$BG$4:$BG$50000"</v>
      </c>
    </row>
    <row r="60" spans="60:92" x14ac:dyDescent="0.3">
      <c r="BH60" t="s">
        <v>119</v>
      </c>
      <c r="BQ60">
        <v>15</v>
      </c>
      <c r="BR60">
        <f t="shared" si="6"/>
        <v>62</v>
      </c>
      <c r="BS60" t="str">
        <f t="shared" si="2"/>
        <v>BJ</v>
      </c>
      <c r="BT60" t="str">
        <f>"    ActiveChart.FullSeriesCollection("&amp;BQ60&amp;").Values=""=Seabed_3ft!$"&amp;BS60&amp;"$4:$"&amp;BS60&amp;"$50000"""</f>
        <v xml:space="preserve">    ActiveChart.FullSeriesCollection(15).Values="=Seabed_3ft!$BJ$4:$BJ$50000"</v>
      </c>
      <c r="CK60">
        <v>15</v>
      </c>
      <c r="CL60">
        <f t="shared" si="5"/>
        <v>62</v>
      </c>
      <c r="CM60" t="str">
        <f t="shared" si="3"/>
        <v>BJ</v>
      </c>
      <c r="CN60" t="str">
        <f>"    ActiveChart.FullSeriesCollection("&amp;CK60&amp;").Values=""=Seabed_3ft!$"&amp;CM60&amp;"$4:$"&amp;CM60&amp;"$50000"""</f>
        <v xml:space="preserve">    ActiveChart.FullSeriesCollection(15).Values="=Seabed_3ft!$BJ$4:$BJ$50000"</v>
      </c>
    </row>
    <row r="61" spans="60:92" x14ac:dyDescent="0.3">
      <c r="BH61" t="s">
        <v>60</v>
      </c>
      <c r="BQ61">
        <v>16</v>
      </c>
      <c r="BR61">
        <f t="shared" si="6"/>
        <v>64</v>
      </c>
      <c r="BS61" t="str">
        <f t="shared" si="2"/>
        <v>BL</v>
      </c>
      <c r="BT61" t="s">
        <v>60</v>
      </c>
      <c r="CK61">
        <v>16</v>
      </c>
      <c r="CL61">
        <f t="shared" si="5"/>
        <v>64</v>
      </c>
      <c r="CM61" t="str">
        <f t="shared" si="3"/>
        <v>BL</v>
      </c>
      <c r="CN61" t="s">
        <v>60</v>
      </c>
    </row>
    <row r="62" spans="60:92" x14ac:dyDescent="0.3">
      <c r="BH62" t="s">
        <v>76</v>
      </c>
      <c r="BQ62">
        <v>16</v>
      </c>
      <c r="BR62">
        <f t="shared" si="6"/>
        <v>64</v>
      </c>
      <c r="BS62" t="str">
        <f t="shared" si="2"/>
        <v>BL</v>
      </c>
      <c r="BT62" t="str">
        <f>"    ActiveChart.FullSeriesCollection("&amp;BQ62&amp;").Name=""=Seabed_3ft!$"&amp;BS62&amp;"$2"""</f>
        <v xml:space="preserve">    ActiveChart.FullSeriesCollection(16).Name="=Seabed_3ft!$BL$2"</v>
      </c>
      <c r="CK62">
        <v>16</v>
      </c>
      <c r="CL62">
        <f t="shared" si="5"/>
        <v>64</v>
      </c>
      <c r="CM62" t="str">
        <f t="shared" si="3"/>
        <v>BL</v>
      </c>
      <c r="CN62" t="str">
        <f>"    ActiveChart.FullSeriesCollection("&amp;CK62&amp;").Name=""=Seabed_3ft!$"&amp;CM62&amp;"$2"""</f>
        <v xml:space="preserve">    ActiveChart.FullSeriesCollection(16).Name="=Seabed_3ft!$BL$2"</v>
      </c>
    </row>
    <row r="63" spans="60:92" x14ac:dyDescent="0.3">
      <c r="BH63" t="s">
        <v>120</v>
      </c>
      <c r="BQ63">
        <v>16</v>
      </c>
      <c r="BR63">
        <f t="shared" si="6"/>
        <v>63</v>
      </c>
      <c r="BS63" t="str">
        <f t="shared" si="2"/>
        <v>BK</v>
      </c>
      <c r="BT63" t="str">
        <f>"    ActiveChart.FullSeriesCollection("&amp;BQ63&amp;").XValues=""=Seabed_3ft!$"&amp;BS63&amp;"$4:$"&amp;BS63&amp;"$50000"""</f>
        <v xml:space="preserve">    ActiveChart.FullSeriesCollection(16).XValues="=Seabed_3ft!$BK$4:$BK$50000"</v>
      </c>
      <c r="CK63">
        <v>16</v>
      </c>
      <c r="CL63">
        <f t="shared" si="5"/>
        <v>63</v>
      </c>
      <c r="CM63" t="str">
        <f t="shared" si="3"/>
        <v>BK</v>
      </c>
      <c r="CN63" t="str">
        <f>"    ActiveChart.FullSeriesCollection("&amp;CK63&amp;").XValues=""=Seabed_3ft!$"&amp;CM63&amp;"$4:$"&amp;CM63&amp;"$50000"""</f>
        <v xml:space="preserve">    ActiveChart.FullSeriesCollection(16).XValues="=Seabed_3ft!$BK$4:$BK$50000"</v>
      </c>
    </row>
    <row r="64" spans="60:92" x14ac:dyDescent="0.3">
      <c r="BH64" t="s">
        <v>121</v>
      </c>
      <c r="BQ64">
        <v>16</v>
      </c>
      <c r="BR64">
        <f t="shared" si="6"/>
        <v>66</v>
      </c>
      <c r="BS64" t="str">
        <f t="shared" si="2"/>
        <v>BN</v>
      </c>
      <c r="BT64" t="str">
        <f>"    ActiveChart.FullSeriesCollection("&amp;BQ64&amp;").Values=""=Seabed_3ft!$"&amp;BS64&amp;"$4:$"&amp;BS64&amp;"$50000"""</f>
        <v xml:space="preserve">    ActiveChart.FullSeriesCollection(16).Values="=Seabed_3ft!$BN$4:$BN$50000"</v>
      </c>
      <c r="CK64">
        <v>16</v>
      </c>
      <c r="CL64">
        <f t="shared" si="5"/>
        <v>66</v>
      </c>
      <c r="CM64" t="str">
        <f t="shared" si="3"/>
        <v>BN</v>
      </c>
      <c r="CN64" t="str">
        <f>"    ActiveChart.FullSeriesCollection("&amp;CK64&amp;").Values=""=Seabed_3ft!$"&amp;CM64&amp;"$4:$"&amp;CM64&amp;"$50000"""</f>
        <v xml:space="preserve">    ActiveChart.FullSeriesCollection(16).Values="=Seabed_3ft!$BN$4:$BN$50000"</v>
      </c>
    </row>
    <row r="65" spans="60:92" x14ac:dyDescent="0.3">
      <c r="BH65" t="s">
        <v>60</v>
      </c>
      <c r="BQ65">
        <v>17</v>
      </c>
      <c r="BR65">
        <f t="shared" si="6"/>
        <v>68</v>
      </c>
      <c r="BS65" t="str">
        <f t="shared" si="2"/>
        <v>BP</v>
      </c>
      <c r="BT65" t="s">
        <v>60</v>
      </c>
      <c r="CK65">
        <v>17</v>
      </c>
      <c r="CL65">
        <f t="shared" si="5"/>
        <v>68</v>
      </c>
      <c r="CM65" t="str">
        <f t="shared" si="3"/>
        <v>BP</v>
      </c>
      <c r="CN65" t="s">
        <v>60</v>
      </c>
    </row>
    <row r="66" spans="60:92" x14ac:dyDescent="0.3">
      <c r="BH66" t="s">
        <v>77</v>
      </c>
      <c r="BQ66">
        <v>17</v>
      </c>
      <c r="BR66">
        <f t="shared" si="6"/>
        <v>68</v>
      </c>
      <c r="BS66" t="str">
        <f t="shared" ref="BS66:BS129" si="7">SUBSTITUTE(ADDRESS(1,BR66,4),1,)</f>
        <v>BP</v>
      </c>
      <c r="BT66" t="str">
        <f>"    ActiveChart.FullSeriesCollection("&amp;BQ66&amp;").Name=""=Seabed_3ft!$"&amp;BS66&amp;"$2"""</f>
        <v xml:space="preserve">    ActiveChart.FullSeriesCollection(17).Name="=Seabed_3ft!$BP$2"</v>
      </c>
      <c r="CK66">
        <v>17</v>
      </c>
      <c r="CL66">
        <f t="shared" si="5"/>
        <v>68</v>
      </c>
      <c r="CM66" t="str">
        <f t="shared" si="3"/>
        <v>BP</v>
      </c>
      <c r="CN66" t="str">
        <f>"    ActiveChart.FullSeriesCollection("&amp;CK66&amp;").Name=""=Seabed_3ft!$"&amp;CM66&amp;"$2"""</f>
        <v xml:space="preserve">    ActiveChart.FullSeriesCollection(17).Name="=Seabed_3ft!$BP$2"</v>
      </c>
    </row>
    <row r="67" spans="60:92" x14ac:dyDescent="0.3">
      <c r="BH67" t="s">
        <v>122</v>
      </c>
      <c r="BQ67">
        <v>17</v>
      </c>
      <c r="BR67">
        <f t="shared" si="6"/>
        <v>67</v>
      </c>
      <c r="BS67" t="str">
        <f t="shared" si="7"/>
        <v>BO</v>
      </c>
      <c r="BT67" t="str">
        <f>"    ActiveChart.FullSeriesCollection("&amp;BQ67&amp;").XValues=""=Seabed_3ft!$"&amp;BS67&amp;"$4:$"&amp;BS67&amp;"$50000"""</f>
        <v xml:space="preserve">    ActiveChart.FullSeriesCollection(17).XValues="=Seabed_3ft!$BO$4:$BO$50000"</v>
      </c>
      <c r="CK67">
        <v>17</v>
      </c>
      <c r="CL67">
        <f t="shared" si="5"/>
        <v>67</v>
      </c>
      <c r="CM67" t="str">
        <f t="shared" si="3"/>
        <v>BO</v>
      </c>
      <c r="CN67" t="str">
        <f>"    ActiveChart.FullSeriesCollection("&amp;CK67&amp;").XValues=""=Seabed_3ft!$"&amp;CM67&amp;"$4:$"&amp;CM67&amp;"$50000"""</f>
        <v xml:space="preserve">    ActiveChart.FullSeriesCollection(17).XValues="=Seabed_3ft!$BO$4:$BO$50000"</v>
      </c>
    </row>
    <row r="68" spans="60:92" x14ac:dyDescent="0.3">
      <c r="BH68" t="s">
        <v>123</v>
      </c>
      <c r="BQ68">
        <v>17</v>
      </c>
      <c r="BR68">
        <f t="shared" si="6"/>
        <v>70</v>
      </c>
      <c r="BS68" t="str">
        <f t="shared" si="7"/>
        <v>BR</v>
      </c>
      <c r="BT68" t="str">
        <f>"    ActiveChart.FullSeriesCollection("&amp;BQ68&amp;").Values=""=Seabed_3ft!$"&amp;BS68&amp;"$4:$"&amp;BS68&amp;"$50000"""</f>
        <v xml:space="preserve">    ActiveChart.FullSeriesCollection(17).Values="=Seabed_3ft!$BR$4:$BR$50000"</v>
      </c>
      <c r="CK68">
        <v>17</v>
      </c>
      <c r="CL68">
        <f t="shared" si="5"/>
        <v>70</v>
      </c>
      <c r="CM68" t="str">
        <f t="shared" si="3"/>
        <v>BR</v>
      </c>
      <c r="CN68" t="str">
        <f>"    ActiveChart.FullSeriesCollection("&amp;CK68&amp;").Values=""=Seabed_3ft!$"&amp;CM68&amp;"$4:$"&amp;CM68&amp;"$50000"""</f>
        <v xml:space="preserve">    ActiveChart.FullSeriesCollection(17).Values="=Seabed_3ft!$BR$4:$BR$50000"</v>
      </c>
    </row>
    <row r="69" spans="60:92" x14ac:dyDescent="0.3">
      <c r="BH69" t="s">
        <v>60</v>
      </c>
      <c r="BQ69">
        <v>18</v>
      </c>
      <c r="BR69">
        <f t="shared" si="6"/>
        <v>72</v>
      </c>
      <c r="BS69" t="str">
        <f t="shared" si="7"/>
        <v>BT</v>
      </c>
      <c r="BT69" t="s">
        <v>60</v>
      </c>
      <c r="CK69">
        <v>18</v>
      </c>
      <c r="CL69">
        <f t="shared" si="5"/>
        <v>72</v>
      </c>
      <c r="CM69" t="str">
        <f t="shared" ref="CM69:CM132" si="8">SUBSTITUTE(ADDRESS(1,CL69,4),1,)</f>
        <v>BT</v>
      </c>
      <c r="CN69" t="s">
        <v>60</v>
      </c>
    </row>
    <row r="70" spans="60:92" x14ac:dyDescent="0.3">
      <c r="BH70" t="s">
        <v>78</v>
      </c>
      <c r="BQ70">
        <v>18</v>
      </c>
      <c r="BR70">
        <f t="shared" si="6"/>
        <v>72</v>
      </c>
      <c r="BS70" t="str">
        <f t="shared" si="7"/>
        <v>BT</v>
      </c>
      <c r="BT70" t="str">
        <f>"    ActiveChart.FullSeriesCollection("&amp;BQ70&amp;").Name=""=Seabed_3ft!$"&amp;BS70&amp;"$2"""</f>
        <v xml:space="preserve">    ActiveChart.FullSeriesCollection(18).Name="=Seabed_3ft!$BT$2"</v>
      </c>
      <c r="CK70">
        <v>18</v>
      </c>
      <c r="CL70">
        <f t="shared" si="5"/>
        <v>72</v>
      </c>
      <c r="CM70" t="str">
        <f t="shared" si="8"/>
        <v>BT</v>
      </c>
      <c r="CN70" t="str">
        <f>"    ActiveChart.FullSeriesCollection("&amp;CK70&amp;").Name=""=Seabed_3ft!$"&amp;CM70&amp;"$2"""</f>
        <v xml:space="preserve">    ActiveChart.FullSeriesCollection(18).Name="=Seabed_3ft!$BT$2"</v>
      </c>
    </row>
    <row r="71" spans="60:92" x14ac:dyDescent="0.3">
      <c r="BH71" t="s">
        <v>124</v>
      </c>
      <c r="BQ71">
        <v>18</v>
      </c>
      <c r="BR71">
        <f t="shared" si="6"/>
        <v>71</v>
      </c>
      <c r="BS71" t="str">
        <f t="shared" si="7"/>
        <v>BS</v>
      </c>
      <c r="BT71" t="str">
        <f>"    ActiveChart.FullSeriesCollection("&amp;BQ71&amp;").XValues=""=Seabed_3ft!$"&amp;BS71&amp;"$4:$"&amp;BS71&amp;"$50000"""</f>
        <v xml:space="preserve">    ActiveChart.FullSeriesCollection(18).XValues="=Seabed_3ft!$BS$4:$BS$50000"</v>
      </c>
      <c r="CK71">
        <v>18</v>
      </c>
      <c r="CL71">
        <f t="shared" si="5"/>
        <v>71</v>
      </c>
      <c r="CM71" t="str">
        <f t="shared" si="8"/>
        <v>BS</v>
      </c>
      <c r="CN71" t="str">
        <f>"    ActiveChart.FullSeriesCollection("&amp;CK71&amp;").XValues=""=Seabed_3ft!$"&amp;CM71&amp;"$4:$"&amp;CM71&amp;"$50000"""</f>
        <v xml:space="preserve">    ActiveChart.FullSeriesCollection(18).XValues="=Seabed_3ft!$BS$4:$BS$50000"</v>
      </c>
    </row>
    <row r="72" spans="60:92" x14ac:dyDescent="0.3">
      <c r="BH72" t="s">
        <v>125</v>
      </c>
      <c r="BQ72">
        <v>18</v>
      </c>
      <c r="BR72">
        <f t="shared" si="6"/>
        <v>74</v>
      </c>
      <c r="BS72" t="str">
        <f t="shared" si="7"/>
        <v>BV</v>
      </c>
      <c r="BT72" t="str">
        <f>"    ActiveChart.FullSeriesCollection("&amp;BQ72&amp;").Values=""=Seabed_3ft!$"&amp;BS72&amp;"$4:$"&amp;BS72&amp;"$50000"""</f>
        <v xml:space="preserve">    ActiveChart.FullSeriesCollection(18).Values="=Seabed_3ft!$BV$4:$BV$50000"</v>
      </c>
      <c r="CK72">
        <v>18</v>
      </c>
      <c r="CL72">
        <f t="shared" si="5"/>
        <v>74</v>
      </c>
      <c r="CM72" t="str">
        <f t="shared" si="8"/>
        <v>BV</v>
      </c>
      <c r="CN72" t="str">
        <f>"    ActiveChart.FullSeriesCollection("&amp;CK72&amp;").Values=""=Seabed_3ft!$"&amp;CM72&amp;"$4:$"&amp;CM72&amp;"$50000"""</f>
        <v xml:space="preserve">    ActiveChart.FullSeriesCollection(18).Values="=Seabed_3ft!$BV$4:$BV$50000"</v>
      </c>
    </row>
    <row r="73" spans="60:92" x14ac:dyDescent="0.3">
      <c r="BH73" t="s">
        <v>60</v>
      </c>
      <c r="BQ73">
        <v>19</v>
      </c>
      <c r="BR73">
        <f t="shared" si="6"/>
        <v>76</v>
      </c>
      <c r="BS73" t="str">
        <f t="shared" si="7"/>
        <v>BX</v>
      </c>
      <c r="BT73" t="s">
        <v>60</v>
      </c>
      <c r="CK73">
        <v>19</v>
      </c>
      <c r="CL73">
        <f t="shared" ref="CL73:CL132" si="9">CL69+4</f>
        <v>76</v>
      </c>
      <c r="CM73" t="str">
        <f t="shared" si="8"/>
        <v>BX</v>
      </c>
      <c r="CN73" t="s">
        <v>60</v>
      </c>
    </row>
    <row r="74" spans="60:92" x14ac:dyDescent="0.3">
      <c r="BH74" t="s">
        <v>79</v>
      </c>
      <c r="BQ74">
        <v>19</v>
      </c>
      <c r="BR74">
        <f t="shared" si="6"/>
        <v>76</v>
      </c>
      <c r="BS74" t="str">
        <f t="shared" si="7"/>
        <v>BX</v>
      </c>
      <c r="BT74" t="str">
        <f>"    ActiveChart.FullSeriesCollection("&amp;BQ74&amp;").Name=""=Seabed_3ft!$"&amp;BS74&amp;"$2"""</f>
        <v xml:space="preserve">    ActiveChart.FullSeriesCollection(19).Name="=Seabed_3ft!$BX$2"</v>
      </c>
      <c r="CK74">
        <v>19</v>
      </c>
      <c r="CL74">
        <f t="shared" si="9"/>
        <v>76</v>
      </c>
      <c r="CM74" t="str">
        <f t="shared" si="8"/>
        <v>BX</v>
      </c>
      <c r="CN74" t="str">
        <f>"    ActiveChart.FullSeriesCollection("&amp;CK74&amp;").Name=""=Seabed_3ft!$"&amp;CM74&amp;"$2"""</f>
        <v xml:space="preserve">    ActiveChart.FullSeriesCollection(19).Name="=Seabed_3ft!$BX$2"</v>
      </c>
    </row>
    <row r="75" spans="60:92" x14ac:dyDescent="0.3">
      <c r="BH75" t="s">
        <v>126</v>
      </c>
      <c r="BQ75">
        <v>19</v>
      </c>
      <c r="BR75">
        <f t="shared" si="6"/>
        <v>75</v>
      </c>
      <c r="BS75" t="str">
        <f t="shared" si="7"/>
        <v>BW</v>
      </c>
      <c r="BT75" t="str">
        <f>"    ActiveChart.FullSeriesCollection("&amp;BQ75&amp;").XValues=""=Seabed_3ft!$"&amp;BS75&amp;"$4:$"&amp;BS75&amp;"$50000"""</f>
        <v xml:space="preserve">    ActiveChart.FullSeriesCollection(19).XValues="=Seabed_3ft!$BW$4:$BW$50000"</v>
      </c>
      <c r="CK75">
        <v>19</v>
      </c>
      <c r="CL75">
        <f t="shared" si="9"/>
        <v>75</v>
      </c>
      <c r="CM75" t="str">
        <f t="shared" si="8"/>
        <v>BW</v>
      </c>
      <c r="CN75" t="str">
        <f>"    ActiveChart.FullSeriesCollection("&amp;CK75&amp;").XValues=""=Seabed_3ft!$"&amp;CM75&amp;"$4:$"&amp;CM75&amp;"$50000"""</f>
        <v xml:space="preserve">    ActiveChart.FullSeriesCollection(19).XValues="=Seabed_3ft!$BW$4:$BW$50000"</v>
      </c>
    </row>
    <row r="76" spans="60:92" x14ac:dyDescent="0.3">
      <c r="BH76" t="s">
        <v>127</v>
      </c>
      <c r="BQ76">
        <v>19</v>
      </c>
      <c r="BR76">
        <f t="shared" si="6"/>
        <v>78</v>
      </c>
      <c r="BS76" t="str">
        <f t="shared" si="7"/>
        <v>BZ</v>
      </c>
      <c r="BT76" t="str">
        <f>"    ActiveChart.FullSeriesCollection("&amp;BQ76&amp;").Values=""=Seabed_3ft!$"&amp;BS76&amp;"$4:$"&amp;BS76&amp;"$50000"""</f>
        <v xml:space="preserve">    ActiveChart.FullSeriesCollection(19).Values="=Seabed_3ft!$BZ$4:$BZ$50000"</v>
      </c>
      <c r="CK76">
        <v>19</v>
      </c>
      <c r="CL76">
        <f t="shared" si="9"/>
        <v>78</v>
      </c>
      <c r="CM76" t="str">
        <f t="shared" si="8"/>
        <v>BZ</v>
      </c>
      <c r="CN76" t="str">
        <f>"    ActiveChart.FullSeriesCollection("&amp;CK76&amp;").Values=""=Seabed_3ft!$"&amp;CM76&amp;"$4:$"&amp;CM76&amp;"$50000"""</f>
        <v xml:space="preserve">    ActiveChart.FullSeriesCollection(19).Values="=Seabed_3ft!$BZ$4:$BZ$50000"</v>
      </c>
    </row>
    <row r="77" spans="60:92" x14ac:dyDescent="0.3">
      <c r="BH77" t="s">
        <v>60</v>
      </c>
      <c r="BQ77">
        <v>20</v>
      </c>
      <c r="BR77">
        <f t="shared" ref="BR77:BR132" si="10">BR73+4</f>
        <v>80</v>
      </c>
      <c r="BS77" t="str">
        <f t="shared" si="7"/>
        <v>CB</v>
      </c>
      <c r="BT77" t="s">
        <v>60</v>
      </c>
      <c r="CK77">
        <v>20</v>
      </c>
      <c r="CL77">
        <f t="shared" si="9"/>
        <v>80</v>
      </c>
      <c r="CM77" t="str">
        <f t="shared" si="8"/>
        <v>CB</v>
      </c>
      <c r="CN77" t="s">
        <v>60</v>
      </c>
    </row>
    <row r="78" spans="60:92" x14ac:dyDescent="0.3">
      <c r="BH78" t="s">
        <v>80</v>
      </c>
      <c r="BQ78">
        <v>20</v>
      </c>
      <c r="BR78">
        <f t="shared" si="10"/>
        <v>80</v>
      </c>
      <c r="BS78" t="str">
        <f t="shared" si="7"/>
        <v>CB</v>
      </c>
      <c r="BT78" t="str">
        <f>"    ActiveChart.FullSeriesCollection("&amp;BQ78&amp;").Name=""=Seabed_3ft!$"&amp;BS78&amp;"$2"""</f>
        <v xml:space="preserve">    ActiveChart.FullSeriesCollection(20).Name="=Seabed_3ft!$CB$2"</v>
      </c>
      <c r="CK78">
        <v>20</v>
      </c>
      <c r="CL78">
        <f t="shared" si="9"/>
        <v>80</v>
      </c>
      <c r="CM78" t="str">
        <f t="shared" si="8"/>
        <v>CB</v>
      </c>
      <c r="CN78" t="str">
        <f>"    ActiveChart.FullSeriesCollection("&amp;CK78&amp;").Name=""=Seabed_3ft!$"&amp;CM78&amp;"$2"""</f>
        <v xml:space="preserve">    ActiveChart.FullSeriesCollection(20).Name="=Seabed_3ft!$CB$2"</v>
      </c>
    </row>
    <row r="79" spans="60:92" x14ac:dyDescent="0.3">
      <c r="BH79" t="s">
        <v>128</v>
      </c>
      <c r="BQ79">
        <v>20</v>
      </c>
      <c r="BR79">
        <f t="shared" si="10"/>
        <v>79</v>
      </c>
      <c r="BS79" t="str">
        <f t="shared" si="7"/>
        <v>CA</v>
      </c>
      <c r="BT79" t="str">
        <f>"    ActiveChart.FullSeriesCollection("&amp;BQ79&amp;").XValues=""=Seabed_3ft!$"&amp;BS79&amp;"$4:$"&amp;BS79&amp;"$50000"""</f>
        <v xml:space="preserve">    ActiveChart.FullSeriesCollection(20).XValues="=Seabed_3ft!$CA$4:$CA$50000"</v>
      </c>
      <c r="CK79">
        <v>20</v>
      </c>
      <c r="CL79">
        <f t="shared" si="9"/>
        <v>79</v>
      </c>
      <c r="CM79" t="str">
        <f t="shared" si="8"/>
        <v>CA</v>
      </c>
      <c r="CN79" t="str">
        <f>"    ActiveChart.FullSeriesCollection("&amp;CK79&amp;").XValues=""=Seabed_3ft!$"&amp;CM79&amp;"$4:$"&amp;CM79&amp;"$50000"""</f>
        <v xml:space="preserve">    ActiveChart.FullSeriesCollection(20).XValues="=Seabed_3ft!$CA$4:$CA$50000"</v>
      </c>
    </row>
    <row r="80" spans="60:92" x14ac:dyDescent="0.3">
      <c r="BH80" t="s">
        <v>129</v>
      </c>
      <c r="BQ80">
        <v>20</v>
      </c>
      <c r="BR80">
        <f t="shared" si="10"/>
        <v>82</v>
      </c>
      <c r="BS80" t="str">
        <f t="shared" si="7"/>
        <v>CD</v>
      </c>
      <c r="BT80" t="str">
        <f>"    ActiveChart.FullSeriesCollection("&amp;BQ80&amp;").Values=""=Seabed_3ft!$"&amp;BS80&amp;"$4:$"&amp;BS80&amp;"$50000"""</f>
        <v xml:space="preserve">    ActiveChart.FullSeriesCollection(20).Values="=Seabed_3ft!$CD$4:$CD$50000"</v>
      </c>
      <c r="CK80">
        <v>20</v>
      </c>
      <c r="CL80">
        <f t="shared" si="9"/>
        <v>82</v>
      </c>
      <c r="CM80" t="str">
        <f t="shared" si="8"/>
        <v>CD</v>
      </c>
      <c r="CN80" t="str">
        <f>"    ActiveChart.FullSeriesCollection("&amp;CK80&amp;").Values=""=Seabed_3ft!$"&amp;CM80&amp;"$4:$"&amp;CM80&amp;"$50000"""</f>
        <v xml:space="preserve">    ActiveChart.FullSeriesCollection(20).Values="=Seabed_3ft!$CD$4:$CD$50000"</v>
      </c>
    </row>
    <row r="81" spans="60:92" x14ac:dyDescent="0.3">
      <c r="BH81" t="s">
        <v>60</v>
      </c>
      <c r="BQ81">
        <v>21</v>
      </c>
      <c r="BR81">
        <f t="shared" si="10"/>
        <v>84</v>
      </c>
      <c r="BS81" t="str">
        <f t="shared" si="7"/>
        <v>CF</v>
      </c>
      <c r="BT81" t="s">
        <v>60</v>
      </c>
      <c r="CK81">
        <v>21</v>
      </c>
      <c r="CL81">
        <f t="shared" si="9"/>
        <v>84</v>
      </c>
      <c r="CM81" t="str">
        <f t="shared" si="8"/>
        <v>CF</v>
      </c>
      <c r="CN81" t="s">
        <v>60</v>
      </c>
    </row>
    <row r="82" spans="60:92" x14ac:dyDescent="0.3">
      <c r="BH82" t="s">
        <v>81</v>
      </c>
      <c r="BQ82">
        <v>21</v>
      </c>
      <c r="BR82">
        <f t="shared" si="10"/>
        <v>84</v>
      </c>
      <c r="BS82" t="str">
        <f t="shared" si="7"/>
        <v>CF</v>
      </c>
      <c r="BT82" t="str">
        <f>"    ActiveChart.FullSeriesCollection("&amp;BQ82&amp;").Name=""=Seabed_3ft!$"&amp;BS82&amp;"$2"""</f>
        <v xml:space="preserve">    ActiveChart.FullSeriesCollection(21).Name="=Seabed_3ft!$CF$2"</v>
      </c>
      <c r="CK82">
        <v>21</v>
      </c>
      <c r="CL82">
        <f t="shared" si="9"/>
        <v>84</v>
      </c>
      <c r="CM82" t="str">
        <f t="shared" si="8"/>
        <v>CF</v>
      </c>
      <c r="CN82" t="str">
        <f>"    ActiveChart.FullSeriesCollection("&amp;CK82&amp;").Name=""=Seabed_3ft!$"&amp;CM82&amp;"$2"""</f>
        <v xml:space="preserve">    ActiveChart.FullSeriesCollection(21).Name="=Seabed_3ft!$CF$2"</v>
      </c>
    </row>
    <row r="83" spans="60:92" x14ac:dyDescent="0.3">
      <c r="BH83" t="s">
        <v>130</v>
      </c>
      <c r="BQ83">
        <v>21</v>
      </c>
      <c r="BR83">
        <f t="shared" si="10"/>
        <v>83</v>
      </c>
      <c r="BS83" t="str">
        <f t="shared" si="7"/>
        <v>CE</v>
      </c>
      <c r="BT83" t="str">
        <f>"    ActiveChart.FullSeriesCollection("&amp;BQ83&amp;").XValues=""=Seabed_3ft!$"&amp;BS83&amp;"$4:$"&amp;BS83&amp;"$50000"""</f>
        <v xml:space="preserve">    ActiveChart.FullSeriesCollection(21).XValues="=Seabed_3ft!$CE$4:$CE$50000"</v>
      </c>
      <c r="CK83">
        <v>21</v>
      </c>
      <c r="CL83">
        <f t="shared" si="9"/>
        <v>83</v>
      </c>
      <c r="CM83" t="str">
        <f t="shared" si="8"/>
        <v>CE</v>
      </c>
      <c r="CN83" t="str">
        <f>"    ActiveChart.FullSeriesCollection("&amp;CK83&amp;").XValues=""=Seabed_3ft!$"&amp;CM83&amp;"$4:$"&amp;CM83&amp;"$50000"""</f>
        <v xml:space="preserve">    ActiveChart.FullSeriesCollection(21).XValues="=Seabed_3ft!$CE$4:$CE$50000"</v>
      </c>
    </row>
    <row r="84" spans="60:92" x14ac:dyDescent="0.3">
      <c r="BH84" t="s">
        <v>131</v>
      </c>
      <c r="BQ84">
        <v>21</v>
      </c>
      <c r="BR84">
        <f t="shared" si="10"/>
        <v>86</v>
      </c>
      <c r="BS84" t="str">
        <f t="shared" si="7"/>
        <v>CH</v>
      </c>
      <c r="BT84" t="str">
        <f>"    ActiveChart.FullSeriesCollection("&amp;BQ84&amp;").Values=""=Seabed_3ft!$"&amp;BS84&amp;"$4:$"&amp;BS84&amp;"$50000"""</f>
        <v xml:space="preserve">    ActiveChart.FullSeriesCollection(21).Values="=Seabed_3ft!$CH$4:$CH$50000"</v>
      </c>
      <c r="CK84">
        <v>21</v>
      </c>
      <c r="CL84">
        <f t="shared" si="9"/>
        <v>86</v>
      </c>
      <c r="CM84" t="str">
        <f t="shared" si="8"/>
        <v>CH</v>
      </c>
      <c r="CN84" t="str">
        <f>"    ActiveChart.FullSeriesCollection("&amp;CK84&amp;").Values=""=Seabed_3ft!$"&amp;CM84&amp;"$4:$"&amp;CM84&amp;"$50000"""</f>
        <v xml:space="preserve">    ActiveChart.FullSeriesCollection(21).Values="=Seabed_3ft!$CH$4:$CH$50000"</v>
      </c>
    </row>
    <row r="85" spans="60:92" x14ac:dyDescent="0.3">
      <c r="BH85" t="s">
        <v>60</v>
      </c>
      <c r="BQ85">
        <v>22</v>
      </c>
      <c r="BR85">
        <f t="shared" si="10"/>
        <v>88</v>
      </c>
      <c r="BS85" t="str">
        <f t="shared" si="7"/>
        <v>CJ</v>
      </c>
      <c r="BT85" t="s">
        <v>60</v>
      </c>
      <c r="CK85">
        <v>22</v>
      </c>
      <c r="CL85">
        <f t="shared" si="9"/>
        <v>88</v>
      </c>
      <c r="CM85" t="str">
        <f t="shared" si="8"/>
        <v>CJ</v>
      </c>
      <c r="CN85" t="s">
        <v>60</v>
      </c>
    </row>
    <row r="86" spans="60:92" x14ac:dyDescent="0.3">
      <c r="BH86" t="s">
        <v>82</v>
      </c>
      <c r="BQ86">
        <v>22</v>
      </c>
      <c r="BR86">
        <f t="shared" si="10"/>
        <v>88</v>
      </c>
      <c r="BS86" t="str">
        <f t="shared" si="7"/>
        <v>CJ</v>
      </c>
      <c r="BT86" t="str">
        <f>"    ActiveChart.FullSeriesCollection("&amp;BQ86&amp;").Name=""=Seabed_3ft!$"&amp;BS86&amp;"$2"""</f>
        <v xml:space="preserve">    ActiveChart.FullSeriesCollection(22).Name="=Seabed_3ft!$CJ$2"</v>
      </c>
      <c r="CK86">
        <v>22</v>
      </c>
      <c r="CL86">
        <f t="shared" si="9"/>
        <v>88</v>
      </c>
      <c r="CM86" t="str">
        <f t="shared" si="8"/>
        <v>CJ</v>
      </c>
      <c r="CN86" t="str">
        <f>"    ActiveChart.FullSeriesCollection("&amp;CK86&amp;").Name=""=Seabed_3ft!$"&amp;CM86&amp;"$2"""</f>
        <v xml:space="preserve">    ActiveChart.FullSeriesCollection(22).Name="=Seabed_3ft!$CJ$2"</v>
      </c>
    </row>
    <row r="87" spans="60:92" x14ac:dyDescent="0.3">
      <c r="BH87" t="s">
        <v>132</v>
      </c>
      <c r="BQ87">
        <v>22</v>
      </c>
      <c r="BR87">
        <f t="shared" si="10"/>
        <v>87</v>
      </c>
      <c r="BS87" t="str">
        <f t="shared" si="7"/>
        <v>CI</v>
      </c>
      <c r="BT87" t="str">
        <f>"    ActiveChart.FullSeriesCollection("&amp;BQ87&amp;").XValues=""=Seabed_3ft!$"&amp;BS87&amp;"$4:$"&amp;BS87&amp;"$50000"""</f>
        <v xml:space="preserve">    ActiveChart.FullSeriesCollection(22).XValues="=Seabed_3ft!$CI$4:$CI$50000"</v>
      </c>
      <c r="CK87">
        <v>22</v>
      </c>
      <c r="CL87">
        <f t="shared" si="9"/>
        <v>87</v>
      </c>
      <c r="CM87" t="str">
        <f t="shared" si="8"/>
        <v>CI</v>
      </c>
      <c r="CN87" t="str">
        <f>"    ActiveChart.FullSeriesCollection("&amp;CK87&amp;").XValues=""=Seabed_3ft!$"&amp;CM87&amp;"$4:$"&amp;CM87&amp;"$50000"""</f>
        <v xml:space="preserve">    ActiveChart.FullSeriesCollection(22).XValues="=Seabed_3ft!$CI$4:$CI$50000"</v>
      </c>
    </row>
    <row r="88" spans="60:92" x14ac:dyDescent="0.3">
      <c r="BH88" t="s">
        <v>133</v>
      </c>
      <c r="BQ88">
        <v>22</v>
      </c>
      <c r="BR88">
        <f t="shared" si="10"/>
        <v>90</v>
      </c>
      <c r="BS88" t="str">
        <f t="shared" si="7"/>
        <v>CL</v>
      </c>
      <c r="BT88" t="str">
        <f>"    ActiveChart.FullSeriesCollection("&amp;BQ88&amp;").Values=""=Seabed_3ft!$"&amp;BS88&amp;"$4:$"&amp;BS88&amp;"$50000"""</f>
        <v xml:space="preserve">    ActiveChart.FullSeriesCollection(22).Values="=Seabed_3ft!$CL$4:$CL$50000"</v>
      </c>
      <c r="CK88">
        <v>22</v>
      </c>
      <c r="CL88">
        <f t="shared" si="9"/>
        <v>90</v>
      </c>
      <c r="CM88" t="str">
        <f t="shared" si="8"/>
        <v>CL</v>
      </c>
      <c r="CN88" t="str">
        <f>"    ActiveChart.FullSeriesCollection("&amp;CK88&amp;").Values=""=Seabed_3ft!$"&amp;CM88&amp;"$4:$"&amp;CM88&amp;"$50000"""</f>
        <v xml:space="preserve">    ActiveChart.FullSeriesCollection(22).Values="=Seabed_3ft!$CL$4:$CL$50000"</v>
      </c>
    </row>
    <row r="89" spans="60:92" x14ac:dyDescent="0.3">
      <c r="BH89" t="s">
        <v>60</v>
      </c>
      <c r="BQ89">
        <v>23</v>
      </c>
      <c r="BR89">
        <f t="shared" si="10"/>
        <v>92</v>
      </c>
      <c r="BS89" t="str">
        <f t="shared" si="7"/>
        <v>CN</v>
      </c>
      <c r="BT89" t="s">
        <v>60</v>
      </c>
      <c r="CK89">
        <v>23</v>
      </c>
      <c r="CL89">
        <f t="shared" si="9"/>
        <v>92</v>
      </c>
      <c r="CM89" t="str">
        <f t="shared" si="8"/>
        <v>CN</v>
      </c>
      <c r="CN89" t="s">
        <v>60</v>
      </c>
    </row>
    <row r="90" spans="60:92" x14ac:dyDescent="0.3">
      <c r="BH90" t="s">
        <v>83</v>
      </c>
      <c r="BQ90">
        <v>23</v>
      </c>
      <c r="BR90">
        <f t="shared" si="10"/>
        <v>92</v>
      </c>
      <c r="BS90" t="str">
        <f t="shared" si="7"/>
        <v>CN</v>
      </c>
      <c r="BT90" t="str">
        <f>"    ActiveChart.FullSeriesCollection("&amp;BQ90&amp;").Name=""=Seabed_3ft!$"&amp;BS90&amp;"$2"""</f>
        <v xml:space="preserve">    ActiveChart.FullSeriesCollection(23).Name="=Seabed_3ft!$CN$2"</v>
      </c>
      <c r="CK90">
        <v>23</v>
      </c>
      <c r="CL90">
        <f t="shared" si="9"/>
        <v>92</v>
      </c>
      <c r="CM90" t="str">
        <f t="shared" si="8"/>
        <v>CN</v>
      </c>
      <c r="CN90" t="str">
        <f>"    ActiveChart.FullSeriesCollection("&amp;CK90&amp;").Name=""=Seabed_3ft!$"&amp;CM90&amp;"$2"""</f>
        <v xml:space="preserve">    ActiveChart.FullSeriesCollection(23).Name="=Seabed_3ft!$CN$2"</v>
      </c>
    </row>
    <row r="91" spans="60:92" x14ac:dyDescent="0.3">
      <c r="BH91" t="s">
        <v>134</v>
      </c>
      <c r="BQ91">
        <v>23</v>
      </c>
      <c r="BR91">
        <f t="shared" si="10"/>
        <v>91</v>
      </c>
      <c r="BS91" t="str">
        <f t="shared" si="7"/>
        <v>CM</v>
      </c>
      <c r="BT91" t="str">
        <f>"    ActiveChart.FullSeriesCollection("&amp;BQ91&amp;").XValues=""=Seabed_3ft!$"&amp;BS91&amp;"$4:$"&amp;BS91&amp;"$50000"""</f>
        <v xml:space="preserve">    ActiveChart.FullSeriesCollection(23).XValues="=Seabed_3ft!$CM$4:$CM$50000"</v>
      </c>
      <c r="CK91">
        <v>23</v>
      </c>
      <c r="CL91">
        <f t="shared" si="9"/>
        <v>91</v>
      </c>
      <c r="CM91" t="str">
        <f t="shared" si="8"/>
        <v>CM</v>
      </c>
      <c r="CN91" t="str">
        <f>"    ActiveChart.FullSeriesCollection("&amp;CK91&amp;").XValues=""=Seabed_3ft!$"&amp;CM91&amp;"$4:$"&amp;CM91&amp;"$50000"""</f>
        <v xml:space="preserve">    ActiveChart.FullSeriesCollection(23).XValues="=Seabed_3ft!$CM$4:$CM$50000"</v>
      </c>
    </row>
    <row r="92" spans="60:92" x14ac:dyDescent="0.3">
      <c r="BH92" t="s">
        <v>135</v>
      </c>
      <c r="BQ92">
        <v>23</v>
      </c>
      <c r="BR92">
        <f t="shared" si="10"/>
        <v>94</v>
      </c>
      <c r="BS92" t="str">
        <f t="shared" si="7"/>
        <v>CP</v>
      </c>
      <c r="BT92" t="str">
        <f>"    ActiveChart.FullSeriesCollection("&amp;BQ92&amp;").Values=""=Seabed_3ft!$"&amp;BS92&amp;"$4:$"&amp;BS92&amp;"$50000"""</f>
        <v xml:space="preserve">    ActiveChart.FullSeriesCollection(23).Values="=Seabed_3ft!$CP$4:$CP$50000"</v>
      </c>
      <c r="CK92">
        <v>23</v>
      </c>
      <c r="CL92">
        <f t="shared" si="9"/>
        <v>94</v>
      </c>
      <c r="CM92" t="str">
        <f t="shared" si="8"/>
        <v>CP</v>
      </c>
      <c r="CN92" t="str">
        <f>"    ActiveChart.FullSeriesCollection("&amp;CK92&amp;").Values=""=Seabed_3ft!$"&amp;CM92&amp;"$4:$"&amp;CM92&amp;"$50000"""</f>
        <v xml:space="preserve">    ActiveChart.FullSeriesCollection(23).Values="=Seabed_3ft!$CP$4:$CP$50000"</v>
      </c>
    </row>
    <row r="93" spans="60:92" x14ac:dyDescent="0.3">
      <c r="BH93" t="s">
        <v>60</v>
      </c>
      <c r="BQ93">
        <v>24</v>
      </c>
      <c r="BR93">
        <f t="shared" si="10"/>
        <v>96</v>
      </c>
      <c r="BS93" t="str">
        <f t="shared" si="7"/>
        <v>CR</v>
      </c>
      <c r="BT93" t="s">
        <v>60</v>
      </c>
      <c r="CK93">
        <v>24</v>
      </c>
      <c r="CL93">
        <f t="shared" si="9"/>
        <v>96</v>
      </c>
      <c r="CM93" t="str">
        <f t="shared" si="8"/>
        <v>CR</v>
      </c>
      <c r="CN93" t="s">
        <v>60</v>
      </c>
    </row>
    <row r="94" spans="60:92" x14ac:dyDescent="0.3">
      <c r="BH94" t="s">
        <v>84</v>
      </c>
      <c r="BQ94">
        <v>24</v>
      </c>
      <c r="BR94">
        <f t="shared" si="10"/>
        <v>96</v>
      </c>
      <c r="BS94" t="str">
        <f t="shared" si="7"/>
        <v>CR</v>
      </c>
      <c r="BT94" t="str">
        <f>"    ActiveChart.FullSeriesCollection("&amp;BQ94&amp;").Name=""=Seabed_3ft!$"&amp;BS94&amp;"$2"""</f>
        <v xml:space="preserve">    ActiveChart.FullSeriesCollection(24).Name="=Seabed_3ft!$CR$2"</v>
      </c>
      <c r="CK94">
        <v>24</v>
      </c>
      <c r="CL94">
        <f t="shared" si="9"/>
        <v>96</v>
      </c>
      <c r="CM94" t="str">
        <f t="shared" si="8"/>
        <v>CR</v>
      </c>
      <c r="CN94" t="str">
        <f>"    ActiveChart.FullSeriesCollection("&amp;CK94&amp;").Name=""=Seabed_3ft!$"&amp;CM94&amp;"$2"""</f>
        <v xml:space="preserve">    ActiveChart.FullSeriesCollection(24).Name="=Seabed_3ft!$CR$2"</v>
      </c>
    </row>
    <row r="95" spans="60:92" x14ac:dyDescent="0.3">
      <c r="BH95" t="s">
        <v>157</v>
      </c>
      <c r="BQ95">
        <v>24</v>
      </c>
      <c r="BR95">
        <f t="shared" si="10"/>
        <v>95</v>
      </c>
      <c r="BS95" t="str">
        <f t="shared" si="7"/>
        <v>CQ</v>
      </c>
      <c r="BT95" t="str">
        <f>"    ActiveChart.FullSeriesCollection("&amp;BQ95&amp;").XValues=""=Seabed_3ft!$"&amp;BS95&amp;"$4:$"&amp;BS95&amp;"$50000"""</f>
        <v xml:space="preserve">    ActiveChart.FullSeriesCollection(24).XValues="=Seabed_3ft!$CQ$4:$CQ$50000"</v>
      </c>
      <c r="CK95">
        <v>24</v>
      </c>
      <c r="CL95">
        <f t="shared" si="9"/>
        <v>95</v>
      </c>
      <c r="CM95" t="str">
        <f t="shared" si="8"/>
        <v>CQ</v>
      </c>
      <c r="CN95" t="str">
        <f>"    ActiveChart.FullSeriesCollection("&amp;CK95&amp;").XValues=""=Seabed_3ft!$"&amp;CM95&amp;"$4:$"&amp;CM95&amp;"$50000"""</f>
        <v xml:space="preserve">    ActiveChart.FullSeriesCollection(24).XValues="=Seabed_3ft!$CQ$4:$CQ$50000"</v>
      </c>
    </row>
    <row r="96" spans="60:92" x14ac:dyDescent="0.3">
      <c r="BH96" t="s">
        <v>158</v>
      </c>
      <c r="BQ96">
        <v>24</v>
      </c>
      <c r="BR96">
        <f t="shared" si="10"/>
        <v>98</v>
      </c>
      <c r="BS96" t="str">
        <f t="shared" si="7"/>
        <v>CT</v>
      </c>
      <c r="BT96" t="str">
        <f>"    ActiveChart.FullSeriesCollection("&amp;BQ96&amp;").Values=""=Seabed_3ft!$"&amp;BS96&amp;"$4:$"&amp;BS96&amp;"$50000"""</f>
        <v xml:space="preserve">    ActiveChart.FullSeriesCollection(24).Values="=Seabed_3ft!$CT$4:$CT$50000"</v>
      </c>
      <c r="CK96">
        <v>24</v>
      </c>
      <c r="CL96">
        <f t="shared" si="9"/>
        <v>98</v>
      </c>
      <c r="CM96" t="str">
        <f t="shared" si="8"/>
        <v>CT</v>
      </c>
      <c r="CN96" t="str">
        <f>"    ActiveChart.FullSeriesCollection("&amp;CK96&amp;").Values=""=Seabed_3ft!$"&amp;CM96&amp;"$4:$"&amp;CM96&amp;"$50000"""</f>
        <v xml:space="preserve">    ActiveChart.FullSeriesCollection(24).Values="=Seabed_3ft!$CT$4:$CT$50000"</v>
      </c>
    </row>
    <row r="97" spans="60:92" x14ac:dyDescent="0.3">
      <c r="BH97" t="s">
        <v>60</v>
      </c>
      <c r="BQ97">
        <v>25</v>
      </c>
      <c r="BR97">
        <f t="shared" si="10"/>
        <v>100</v>
      </c>
      <c r="BS97" t="str">
        <f t="shared" si="7"/>
        <v>CV</v>
      </c>
      <c r="BT97" t="s">
        <v>60</v>
      </c>
      <c r="CK97">
        <v>25</v>
      </c>
      <c r="CL97">
        <f t="shared" si="9"/>
        <v>100</v>
      </c>
      <c r="CM97" t="str">
        <f t="shared" si="8"/>
        <v>CV</v>
      </c>
      <c r="CN97" t="s">
        <v>60</v>
      </c>
    </row>
    <row r="98" spans="60:92" x14ac:dyDescent="0.3">
      <c r="BH98" t="s">
        <v>85</v>
      </c>
      <c r="BQ98">
        <v>25</v>
      </c>
      <c r="BR98">
        <f t="shared" si="10"/>
        <v>100</v>
      </c>
      <c r="BS98" t="str">
        <f t="shared" si="7"/>
        <v>CV</v>
      </c>
      <c r="BT98" t="str">
        <f>"    ActiveChart.FullSeriesCollection("&amp;BQ98&amp;").Name=""=Seabed_3ft!$"&amp;BS98&amp;"$2"""</f>
        <v xml:space="preserve">    ActiveChart.FullSeriesCollection(25).Name="=Seabed_3ft!$CV$2"</v>
      </c>
      <c r="CK98">
        <v>25</v>
      </c>
      <c r="CL98">
        <f t="shared" si="9"/>
        <v>100</v>
      </c>
      <c r="CM98" t="str">
        <f t="shared" si="8"/>
        <v>CV</v>
      </c>
      <c r="CN98" t="str">
        <f>"    ActiveChart.FullSeriesCollection("&amp;CK98&amp;").Name=""=Seabed_3ft!$"&amp;CM98&amp;"$2"""</f>
        <v xml:space="preserve">    ActiveChart.FullSeriesCollection(25).Name="=Seabed_3ft!$CV$2"</v>
      </c>
    </row>
    <row r="99" spans="60:92" x14ac:dyDescent="0.3">
      <c r="BH99" t="s">
        <v>136</v>
      </c>
      <c r="BQ99">
        <v>25</v>
      </c>
      <c r="BR99">
        <f t="shared" si="10"/>
        <v>99</v>
      </c>
      <c r="BS99" t="str">
        <f t="shared" si="7"/>
        <v>CU</v>
      </c>
      <c r="BT99" t="str">
        <f>"    ActiveChart.FullSeriesCollection("&amp;BQ99&amp;").XValues=""=Seabed_3ft!$"&amp;BS99&amp;"$4:$"&amp;BS99&amp;"$50000"""</f>
        <v xml:space="preserve">    ActiveChart.FullSeriesCollection(25).XValues="=Seabed_3ft!$CU$4:$CU$50000"</v>
      </c>
      <c r="CK99">
        <v>25</v>
      </c>
      <c r="CL99">
        <f t="shared" si="9"/>
        <v>99</v>
      </c>
      <c r="CM99" t="str">
        <f t="shared" si="8"/>
        <v>CU</v>
      </c>
      <c r="CN99" t="str">
        <f>"    ActiveChart.FullSeriesCollection("&amp;CK99&amp;").XValues=""=Seabed_3ft!$"&amp;CM99&amp;"$4:$"&amp;CM99&amp;"$50000"""</f>
        <v xml:space="preserve">    ActiveChart.FullSeriesCollection(25).XValues="=Seabed_3ft!$CU$4:$CU$50000"</v>
      </c>
    </row>
    <row r="100" spans="60:92" x14ac:dyDescent="0.3">
      <c r="BH100" t="s">
        <v>137</v>
      </c>
      <c r="BQ100">
        <v>25</v>
      </c>
      <c r="BR100">
        <f t="shared" si="10"/>
        <v>102</v>
      </c>
      <c r="BS100" t="str">
        <f t="shared" si="7"/>
        <v>CX</v>
      </c>
      <c r="BT100" t="str">
        <f>"    ActiveChart.FullSeriesCollection("&amp;BQ100&amp;").Values=""=Seabed_3ft!$"&amp;BS100&amp;"$4:$"&amp;BS100&amp;"$50000"""</f>
        <v xml:space="preserve">    ActiveChart.FullSeriesCollection(25).Values="=Seabed_3ft!$CX$4:$CX$50000"</v>
      </c>
      <c r="CK100">
        <v>25</v>
      </c>
      <c r="CL100">
        <f t="shared" si="9"/>
        <v>102</v>
      </c>
      <c r="CM100" t="str">
        <f t="shared" si="8"/>
        <v>CX</v>
      </c>
      <c r="CN100" t="str">
        <f>"    ActiveChart.FullSeriesCollection("&amp;CK100&amp;").Values=""=Seabed_3ft!$"&amp;CM100&amp;"$4:$"&amp;CM100&amp;"$50000"""</f>
        <v xml:space="preserve">    ActiveChart.FullSeriesCollection(25).Values="=Seabed_3ft!$CX$4:$CX$50000"</v>
      </c>
    </row>
    <row r="101" spans="60:92" x14ac:dyDescent="0.3">
      <c r="BH101" t="s">
        <v>60</v>
      </c>
      <c r="BQ101">
        <v>26</v>
      </c>
      <c r="BR101">
        <f t="shared" si="10"/>
        <v>104</v>
      </c>
      <c r="BS101" t="str">
        <f t="shared" si="7"/>
        <v>CZ</v>
      </c>
      <c r="BT101" t="s">
        <v>60</v>
      </c>
      <c r="CK101">
        <v>26</v>
      </c>
      <c r="CL101">
        <f t="shared" si="9"/>
        <v>104</v>
      </c>
      <c r="CM101" t="str">
        <f t="shared" si="8"/>
        <v>CZ</v>
      </c>
      <c r="CN101" t="s">
        <v>60</v>
      </c>
    </row>
    <row r="102" spans="60:92" x14ac:dyDescent="0.3">
      <c r="BH102" t="s">
        <v>86</v>
      </c>
      <c r="BQ102">
        <v>26</v>
      </c>
      <c r="BR102">
        <f t="shared" si="10"/>
        <v>104</v>
      </c>
      <c r="BS102" t="str">
        <f t="shared" si="7"/>
        <v>CZ</v>
      </c>
      <c r="BT102" t="str">
        <f>"    ActiveChart.FullSeriesCollection("&amp;BQ102&amp;").Name=""=Seabed_3ft!$"&amp;BS102&amp;"$2"""</f>
        <v xml:space="preserve">    ActiveChart.FullSeriesCollection(26).Name="=Seabed_3ft!$CZ$2"</v>
      </c>
      <c r="CK102">
        <v>26</v>
      </c>
      <c r="CL102">
        <f t="shared" si="9"/>
        <v>104</v>
      </c>
      <c r="CM102" t="str">
        <f t="shared" si="8"/>
        <v>CZ</v>
      </c>
      <c r="CN102" t="str">
        <f>"    ActiveChart.FullSeriesCollection("&amp;CK102&amp;").Name=""=Seabed_3ft!$"&amp;CM102&amp;"$2"""</f>
        <v xml:space="preserve">    ActiveChart.FullSeriesCollection(26).Name="=Seabed_3ft!$CZ$2"</v>
      </c>
    </row>
    <row r="103" spans="60:92" x14ac:dyDescent="0.3">
      <c r="BH103" t="s">
        <v>138</v>
      </c>
      <c r="BQ103">
        <v>26</v>
      </c>
      <c r="BR103">
        <f t="shared" si="10"/>
        <v>103</v>
      </c>
      <c r="BS103" t="str">
        <f t="shared" si="7"/>
        <v>CY</v>
      </c>
      <c r="BT103" t="str">
        <f>"    ActiveChart.FullSeriesCollection("&amp;BQ103&amp;").XValues=""=Seabed_3ft!$"&amp;BS103&amp;"$4:$"&amp;BS103&amp;"$50000"""</f>
        <v xml:space="preserve">    ActiveChart.FullSeriesCollection(26).XValues="=Seabed_3ft!$CY$4:$CY$50000"</v>
      </c>
      <c r="CK103">
        <v>26</v>
      </c>
      <c r="CL103">
        <f t="shared" si="9"/>
        <v>103</v>
      </c>
      <c r="CM103" t="str">
        <f t="shared" si="8"/>
        <v>CY</v>
      </c>
      <c r="CN103" t="str">
        <f>"    ActiveChart.FullSeriesCollection("&amp;CK103&amp;").XValues=""=Seabed_3ft!$"&amp;CM103&amp;"$4:$"&amp;CM103&amp;"$50000"""</f>
        <v xml:space="preserve">    ActiveChart.FullSeriesCollection(26).XValues="=Seabed_3ft!$CY$4:$CY$50000"</v>
      </c>
    </row>
    <row r="104" spans="60:92" x14ac:dyDescent="0.3">
      <c r="BH104" t="s">
        <v>139</v>
      </c>
      <c r="BQ104">
        <v>26</v>
      </c>
      <c r="BR104">
        <f t="shared" si="10"/>
        <v>106</v>
      </c>
      <c r="BS104" t="str">
        <f t="shared" si="7"/>
        <v>DB</v>
      </c>
      <c r="BT104" t="str">
        <f>"    ActiveChart.FullSeriesCollection("&amp;BQ104&amp;").Values=""=Seabed_3ft!$"&amp;BS104&amp;"$4:$"&amp;BS104&amp;"$50000"""</f>
        <v xml:space="preserve">    ActiveChart.FullSeriesCollection(26).Values="=Seabed_3ft!$DB$4:$DB$50000"</v>
      </c>
      <c r="CK104">
        <v>26</v>
      </c>
      <c r="CL104">
        <f t="shared" si="9"/>
        <v>106</v>
      </c>
      <c r="CM104" t="str">
        <f t="shared" si="8"/>
        <v>DB</v>
      </c>
      <c r="CN104" t="str">
        <f>"    ActiveChart.FullSeriesCollection("&amp;CK104&amp;").Values=""=Seabed_3ft!$"&amp;CM104&amp;"$4:$"&amp;CM104&amp;"$50000"""</f>
        <v xml:space="preserve">    ActiveChart.FullSeriesCollection(26).Values="=Seabed_3ft!$DB$4:$DB$50000"</v>
      </c>
    </row>
    <row r="105" spans="60:92" x14ac:dyDescent="0.3">
      <c r="BH105" t="s">
        <v>60</v>
      </c>
      <c r="BQ105">
        <v>27</v>
      </c>
      <c r="BR105">
        <f t="shared" si="10"/>
        <v>108</v>
      </c>
      <c r="BS105" t="str">
        <f t="shared" si="7"/>
        <v>DD</v>
      </c>
      <c r="BT105" t="s">
        <v>60</v>
      </c>
      <c r="CK105">
        <v>27</v>
      </c>
      <c r="CL105">
        <f t="shared" si="9"/>
        <v>108</v>
      </c>
      <c r="CM105" t="str">
        <f t="shared" si="8"/>
        <v>DD</v>
      </c>
      <c r="CN105" t="s">
        <v>60</v>
      </c>
    </row>
    <row r="106" spans="60:92" x14ac:dyDescent="0.3">
      <c r="BH106" t="s">
        <v>87</v>
      </c>
      <c r="BQ106">
        <v>27</v>
      </c>
      <c r="BR106">
        <f t="shared" si="10"/>
        <v>108</v>
      </c>
      <c r="BS106" t="str">
        <f t="shared" si="7"/>
        <v>DD</v>
      </c>
      <c r="BT106" t="str">
        <f>"    ActiveChart.FullSeriesCollection("&amp;BQ106&amp;").Name=""=Seabed_3ft!$"&amp;BS106&amp;"$2"""</f>
        <v xml:space="preserve">    ActiveChart.FullSeriesCollection(27).Name="=Seabed_3ft!$DD$2"</v>
      </c>
      <c r="CK106">
        <v>27</v>
      </c>
      <c r="CL106">
        <f t="shared" si="9"/>
        <v>108</v>
      </c>
      <c r="CM106" t="str">
        <f t="shared" si="8"/>
        <v>DD</v>
      </c>
      <c r="CN106" t="str">
        <f>"    ActiveChart.FullSeriesCollection("&amp;CK106&amp;").Name=""=Seabed_3ft!$"&amp;CM106&amp;"$2"""</f>
        <v xml:space="preserve">    ActiveChart.FullSeriesCollection(27).Name="=Seabed_3ft!$DD$2"</v>
      </c>
    </row>
    <row r="107" spans="60:92" x14ac:dyDescent="0.3">
      <c r="BH107" t="s">
        <v>140</v>
      </c>
      <c r="BQ107">
        <v>27</v>
      </c>
      <c r="BR107">
        <f t="shared" si="10"/>
        <v>107</v>
      </c>
      <c r="BS107" t="str">
        <f t="shared" si="7"/>
        <v>DC</v>
      </c>
      <c r="BT107" t="str">
        <f>"    ActiveChart.FullSeriesCollection("&amp;BQ107&amp;").XValues=""=Seabed_3ft!$"&amp;BS107&amp;"$4:$"&amp;BS107&amp;"$50000"""</f>
        <v xml:space="preserve">    ActiveChart.FullSeriesCollection(27).XValues="=Seabed_3ft!$DC$4:$DC$50000"</v>
      </c>
      <c r="CK107">
        <v>27</v>
      </c>
      <c r="CL107">
        <f t="shared" si="9"/>
        <v>107</v>
      </c>
      <c r="CM107" t="str">
        <f t="shared" si="8"/>
        <v>DC</v>
      </c>
      <c r="CN107" t="str">
        <f>"    ActiveChart.FullSeriesCollection("&amp;CK107&amp;").XValues=""=Seabed_3ft!$"&amp;CM107&amp;"$4:$"&amp;CM107&amp;"$50000"""</f>
        <v xml:space="preserve">    ActiveChart.FullSeriesCollection(27).XValues="=Seabed_3ft!$DC$4:$DC$50000"</v>
      </c>
    </row>
    <row r="108" spans="60:92" x14ac:dyDescent="0.3">
      <c r="BH108" t="s">
        <v>141</v>
      </c>
      <c r="BQ108">
        <v>27</v>
      </c>
      <c r="BR108">
        <f t="shared" si="10"/>
        <v>110</v>
      </c>
      <c r="BS108" t="str">
        <f t="shared" si="7"/>
        <v>DF</v>
      </c>
      <c r="BT108" t="str">
        <f>"    ActiveChart.FullSeriesCollection("&amp;BQ108&amp;").Values=""=Seabed_3ft!$"&amp;BS108&amp;"$4:$"&amp;BS108&amp;"$50000"""</f>
        <v xml:space="preserve">    ActiveChart.FullSeriesCollection(27).Values="=Seabed_3ft!$DF$4:$DF$50000"</v>
      </c>
      <c r="CK108">
        <v>27</v>
      </c>
      <c r="CL108">
        <f t="shared" si="9"/>
        <v>110</v>
      </c>
      <c r="CM108" t="str">
        <f t="shared" si="8"/>
        <v>DF</v>
      </c>
      <c r="CN108" t="str">
        <f>"    ActiveChart.FullSeriesCollection("&amp;CK108&amp;").Values=""=Seabed_3ft!$"&amp;CM108&amp;"$4:$"&amp;CM108&amp;"$50000"""</f>
        <v xml:space="preserve">    ActiveChart.FullSeriesCollection(27).Values="=Seabed_3ft!$DF$4:$DF$50000"</v>
      </c>
    </row>
    <row r="109" spans="60:92" x14ac:dyDescent="0.3">
      <c r="BH109" t="s">
        <v>60</v>
      </c>
      <c r="BQ109">
        <v>28</v>
      </c>
      <c r="BR109">
        <f t="shared" si="10"/>
        <v>112</v>
      </c>
      <c r="BS109" t="str">
        <f t="shared" si="7"/>
        <v>DH</v>
      </c>
      <c r="BT109" t="s">
        <v>60</v>
      </c>
      <c r="CK109">
        <v>28</v>
      </c>
      <c r="CL109">
        <f t="shared" si="9"/>
        <v>112</v>
      </c>
      <c r="CM109" t="str">
        <f t="shared" si="8"/>
        <v>DH</v>
      </c>
      <c r="CN109" t="s">
        <v>60</v>
      </c>
    </row>
    <row r="110" spans="60:92" x14ac:dyDescent="0.3">
      <c r="BH110" t="s">
        <v>88</v>
      </c>
      <c r="BQ110">
        <v>28</v>
      </c>
      <c r="BR110">
        <f t="shared" si="10"/>
        <v>112</v>
      </c>
      <c r="BS110" t="str">
        <f t="shared" si="7"/>
        <v>DH</v>
      </c>
      <c r="BT110" t="str">
        <f>"    ActiveChart.FullSeriesCollection("&amp;BQ110&amp;").Name=""=Seabed_3ft!$"&amp;BS110&amp;"$2"""</f>
        <v xml:space="preserve">    ActiveChart.FullSeriesCollection(28).Name="=Seabed_3ft!$DH$2"</v>
      </c>
      <c r="CK110">
        <v>28</v>
      </c>
      <c r="CL110">
        <f t="shared" si="9"/>
        <v>112</v>
      </c>
      <c r="CM110" t="str">
        <f t="shared" si="8"/>
        <v>DH</v>
      </c>
      <c r="CN110" t="str">
        <f>"    ActiveChart.FullSeriesCollection("&amp;CK110&amp;").Name=""=Seabed_3ft!$"&amp;CM110&amp;"$2"""</f>
        <v xml:space="preserve">    ActiveChart.FullSeriesCollection(28).Name="=Seabed_3ft!$DH$2"</v>
      </c>
    </row>
    <row r="111" spans="60:92" x14ac:dyDescent="0.3">
      <c r="BH111" t="s">
        <v>142</v>
      </c>
      <c r="BQ111">
        <v>28</v>
      </c>
      <c r="BR111">
        <f t="shared" si="10"/>
        <v>111</v>
      </c>
      <c r="BS111" t="str">
        <f t="shared" si="7"/>
        <v>DG</v>
      </c>
      <c r="BT111" t="str">
        <f>"    ActiveChart.FullSeriesCollection("&amp;BQ111&amp;").XValues=""=Seabed_3ft!$"&amp;BS111&amp;"$4:$"&amp;BS111&amp;"$50000"""</f>
        <v xml:space="preserve">    ActiveChart.FullSeriesCollection(28).XValues="=Seabed_3ft!$DG$4:$DG$50000"</v>
      </c>
      <c r="CK111">
        <v>28</v>
      </c>
      <c r="CL111">
        <f t="shared" si="9"/>
        <v>111</v>
      </c>
      <c r="CM111" t="str">
        <f t="shared" si="8"/>
        <v>DG</v>
      </c>
      <c r="CN111" t="str">
        <f>"    ActiveChart.FullSeriesCollection("&amp;CK111&amp;").XValues=""=Seabed_3ft!$"&amp;CM111&amp;"$4:$"&amp;CM111&amp;"$50000"""</f>
        <v xml:space="preserve">    ActiveChart.FullSeriesCollection(28).XValues="=Seabed_3ft!$DG$4:$DG$50000"</v>
      </c>
    </row>
    <row r="112" spans="60:92" x14ac:dyDescent="0.3">
      <c r="BH112" t="s">
        <v>143</v>
      </c>
      <c r="BQ112">
        <v>28</v>
      </c>
      <c r="BR112">
        <f t="shared" si="10"/>
        <v>114</v>
      </c>
      <c r="BS112" t="str">
        <f t="shared" si="7"/>
        <v>DJ</v>
      </c>
      <c r="BT112" t="str">
        <f>"    ActiveChart.FullSeriesCollection("&amp;BQ112&amp;").Values=""=Seabed_3ft!$"&amp;BS112&amp;"$4:$"&amp;BS112&amp;"$50000"""</f>
        <v xml:space="preserve">    ActiveChart.FullSeriesCollection(28).Values="=Seabed_3ft!$DJ$4:$DJ$50000"</v>
      </c>
      <c r="CK112">
        <v>28</v>
      </c>
      <c r="CL112">
        <f t="shared" si="9"/>
        <v>114</v>
      </c>
      <c r="CM112" t="str">
        <f t="shared" si="8"/>
        <v>DJ</v>
      </c>
      <c r="CN112" t="str">
        <f>"    ActiveChart.FullSeriesCollection("&amp;CK112&amp;").Values=""=Seabed_3ft!$"&amp;CM112&amp;"$4:$"&amp;CM112&amp;"$50000"""</f>
        <v xml:space="preserve">    ActiveChart.FullSeriesCollection(28).Values="=Seabed_3ft!$DJ$4:$DJ$50000"</v>
      </c>
    </row>
    <row r="113" spans="60:92" x14ac:dyDescent="0.3">
      <c r="BH113" t="s">
        <v>60</v>
      </c>
      <c r="BQ113">
        <v>29</v>
      </c>
      <c r="BR113">
        <f t="shared" si="10"/>
        <v>116</v>
      </c>
      <c r="BS113" t="str">
        <f t="shared" si="7"/>
        <v>DL</v>
      </c>
      <c r="BT113" t="s">
        <v>60</v>
      </c>
      <c r="CK113">
        <v>29</v>
      </c>
      <c r="CL113">
        <f t="shared" si="9"/>
        <v>116</v>
      </c>
      <c r="CM113" t="str">
        <f t="shared" si="8"/>
        <v>DL</v>
      </c>
      <c r="CN113" t="s">
        <v>60</v>
      </c>
    </row>
    <row r="114" spans="60:92" x14ac:dyDescent="0.3">
      <c r="BH114" t="s">
        <v>89</v>
      </c>
      <c r="BQ114">
        <v>29</v>
      </c>
      <c r="BR114">
        <f t="shared" si="10"/>
        <v>116</v>
      </c>
      <c r="BS114" t="str">
        <f t="shared" si="7"/>
        <v>DL</v>
      </c>
      <c r="BT114" t="str">
        <f>"    ActiveChart.FullSeriesCollection("&amp;BQ114&amp;").Name=""=Seabed_3ft!$"&amp;BS114&amp;"$2"""</f>
        <v xml:space="preserve">    ActiveChart.FullSeriesCollection(29).Name="=Seabed_3ft!$DL$2"</v>
      </c>
      <c r="CK114">
        <v>29</v>
      </c>
      <c r="CL114">
        <f t="shared" si="9"/>
        <v>116</v>
      </c>
      <c r="CM114" t="str">
        <f t="shared" si="8"/>
        <v>DL</v>
      </c>
      <c r="CN114" t="str">
        <f>"    ActiveChart.FullSeriesCollection("&amp;CK114&amp;").Name=""=Seabed_3ft!$"&amp;CM114&amp;"$2"""</f>
        <v xml:space="preserve">    ActiveChart.FullSeriesCollection(29).Name="=Seabed_3ft!$DL$2"</v>
      </c>
    </row>
    <row r="115" spans="60:92" x14ac:dyDescent="0.3">
      <c r="BH115" t="s">
        <v>144</v>
      </c>
      <c r="BQ115">
        <v>29</v>
      </c>
      <c r="BR115">
        <f t="shared" si="10"/>
        <v>115</v>
      </c>
      <c r="BS115" t="str">
        <f t="shared" si="7"/>
        <v>DK</v>
      </c>
      <c r="BT115" t="str">
        <f>"    ActiveChart.FullSeriesCollection("&amp;BQ115&amp;").XValues=""=Seabed_3ft!$"&amp;BS115&amp;"$4:$"&amp;BS115&amp;"$50000"""</f>
        <v xml:space="preserve">    ActiveChart.FullSeriesCollection(29).XValues="=Seabed_3ft!$DK$4:$DK$50000"</v>
      </c>
      <c r="CK115">
        <v>29</v>
      </c>
      <c r="CL115">
        <f t="shared" si="9"/>
        <v>115</v>
      </c>
      <c r="CM115" t="str">
        <f t="shared" si="8"/>
        <v>DK</v>
      </c>
      <c r="CN115" t="str">
        <f>"    ActiveChart.FullSeriesCollection("&amp;CK115&amp;").XValues=""=Seabed_3ft!$"&amp;CM115&amp;"$4:$"&amp;CM115&amp;"$50000"""</f>
        <v xml:space="preserve">    ActiveChart.FullSeriesCollection(29).XValues="=Seabed_3ft!$DK$4:$DK$50000"</v>
      </c>
    </row>
    <row r="116" spans="60:92" x14ac:dyDescent="0.3">
      <c r="BH116" t="s">
        <v>145</v>
      </c>
      <c r="BQ116">
        <v>29</v>
      </c>
      <c r="BR116">
        <f t="shared" si="10"/>
        <v>118</v>
      </c>
      <c r="BS116" t="str">
        <f t="shared" si="7"/>
        <v>DN</v>
      </c>
      <c r="BT116" t="str">
        <f>"    ActiveChart.FullSeriesCollection("&amp;BQ116&amp;").Values=""=Seabed_3ft!$"&amp;BS116&amp;"$4:$"&amp;BS116&amp;"$50000"""</f>
        <v xml:space="preserve">    ActiveChart.FullSeriesCollection(29).Values="=Seabed_3ft!$DN$4:$DN$50000"</v>
      </c>
      <c r="CK116">
        <v>29</v>
      </c>
      <c r="CL116">
        <f t="shared" si="9"/>
        <v>118</v>
      </c>
      <c r="CM116" t="str">
        <f t="shared" si="8"/>
        <v>DN</v>
      </c>
      <c r="CN116" t="str">
        <f>"    ActiveChart.FullSeriesCollection("&amp;CK116&amp;").Values=""=Seabed_3ft!$"&amp;CM116&amp;"$4:$"&amp;CM116&amp;"$50000"""</f>
        <v xml:space="preserve">    ActiveChart.FullSeriesCollection(29).Values="=Seabed_3ft!$DN$4:$DN$50000"</v>
      </c>
    </row>
    <row r="117" spans="60:92" x14ac:dyDescent="0.3">
      <c r="BH117" t="s">
        <v>60</v>
      </c>
      <c r="BQ117">
        <v>30</v>
      </c>
      <c r="BR117">
        <f t="shared" si="10"/>
        <v>120</v>
      </c>
      <c r="BS117" t="str">
        <f t="shared" si="7"/>
        <v>DP</v>
      </c>
      <c r="BT117" t="s">
        <v>60</v>
      </c>
      <c r="CK117">
        <v>30</v>
      </c>
      <c r="CL117">
        <f t="shared" si="9"/>
        <v>120</v>
      </c>
      <c r="CM117" t="str">
        <f t="shared" si="8"/>
        <v>DP</v>
      </c>
      <c r="CN117" t="s">
        <v>60</v>
      </c>
    </row>
    <row r="118" spans="60:92" x14ac:dyDescent="0.3">
      <c r="BH118" t="s">
        <v>90</v>
      </c>
      <c r="BQ118">
        <v>30</v>
      </c>
      <c r="BR118">
        <f t="shared" si="10"/>
        <v>120</v>
      </c>
      <c r="BS118" t="str">
        <f t="shared" si="7"/>
        <v>DP</v>
      </c>
      <c r="BT118" t="str">
        <f>"    ActiveChart.FullSeriesCollection("&amp;BQ118&amp;").Name=""=Seabed_3ft!$"&amp;BS118&amp;"$2"""</f>
        <v xml:space="preserve">    ActiveChart.FullSeriesCollection(30).Name="=Seabed_3ft!$DP$2"</v>
      </c>
      <c r="CK118">
        <v>30</v>
      </c>
      <c r="CL118">
        <f t="shared" si="9"/>
        <v>120</v>
      </c>
      <c r="CM118" t="str">
        <f t="shared" si="8"/>
        <v>DP</v>
      </c>
      <c r="CN118" t="str">
        <f>"    ActiveChart.FullSeriesCollection("&amp;CK118&amp;").Name=""=Seabed_3ft!$"&amp;CM118&amp;"$2"""</f>
        <v xml:space="preserve">    ActiveChart.FullSeriesCollection(30).Name="=Seabed_3ft!$DP$2"</v>
      </c>
    </row>
    <row r="119" spans="60:92" x14ac:dyDescent="0.3">
      <c r="BH119" t="s">
        <v>146</v>
      </c>
      <c r="BQ119">
        <v>30</v>
      </c>
      <c r="BR119">
        <f t="shared" si="10"/>
        <v>119</v>
      </c>
      <c r="BS119" t="str">
        <f t="shared" si="7"/>
        <v>DO</v>
      </c>
      <c r="BT119" t="str">
        <f>"    ActiveChart.FullSeriesCollection("&amp;BQ119&amp;").XValues=""=Seabed_3ft!$"&amp;BS119&amp;"$4:$"&amp;BS119&amp;"$50000"""</f>
        <v xml:space="preserve">    ActiveChart.FullSeriesCollection(30).XValues="=Seabed_3ft!$DO$4:$DO$50000"</v>
      </c>
      <c r="CK119">
        <v>30</v>
      </c>
      <c r="CL119">
        <f t="shared" si="9"/>
        <v>119</v>
      </c>
      <c r="CM119" t="str">
        <f t="shared" si="8"/>
        <v>DO</v>
      </c>
      <c r="CN119" t="str">
        <f>"    ActiveChart.FullSeriesCollection("&amp;CK119&amp;").XValues=""=Seabed_3ft!$"&amp;CM119&amp;"$4:$"&amp;CM119&amp;"$50000"""</f>
        <v xml:space="preserve">    ActiveChart.FullSeriesCollection(30).XValues="=Seabed_3ft!$DO$4:$DO$50000"</v>
      </c>
    </row>
    <row r="120" spans="60:92" x14ac:dyDescent="0.3">
      <c r="BH120" t="s">
        <v>147</v>
      </c>
      <c r="BQ120">
        <v>30</v>
      </c>
      <c r="BR120">
        <f t="shared" si="10"/>
        <v>122</v>
      </c>
      <c r="BS120" t="str">
        <f t="shared" si="7"/>
        <v>DR</v>
      </c>
      <c r="BT120" t="str">
        <f>"    ActiveChart.FullSeriesCollection("&amp;BQ120&amp;").Values=""=Seabed_3ft!$"&amp;BS120&amp;"$4:$"&amp;BS120&amp;"$50000"""</f>
        <v xml:space="preserve">    ActiveChart.FullSeriesCollection(30).Values="=Seabed_3ft!$DR$4:$DR$50000"</v>
      </c>
      <c r="CK120">
        <v>30</v>
      </c>
      <c r="CL120">
        <f t="shared" si="9"/>
        <v>122</v>
      </c>
      <c r="CM120" t="str">
        <f t="shared" si="8"/>
        <v>DR</v>
      </c>
      <c r="CN120" t="str">
        <f>"    ActiveChart.FullSeriesCollection("&amp;CK120&amp;").Values=""=Seabed_3ft!$"&amp;CM120&amp;"$4:$"&amp;CM120&amp;"$50000"""</f>
        <v xml:space="preserve">    ActiveChart.FullSeriesCollection(30).Values="=Seabed_3ft!$DR$4:$DR$50000"</v>
      </c>
    </row>
    <row r="121" spans="60:92" x14ac:dyDescent="0.3">
      <c r="BH121" t="s">
        <v>60</v>
      </c>
      <c r="BQ121">
        <v>31</v>
      </c>
      <c r="BR121">
        <f t="shared" si="10"/>
        <v>124</v>
      </c>
      <c r="BS121" t="str">
        <f t="shared" si="7"/>
        <v>DT</v>
      </c>
      <c r="BT121" t="s">
        <v>60</v>
      </c>
      <c r="CK121">
        <v>31</v>
      </c>
      <c r="CL121">
        <f t="shared" si="9"/>
        <v>124</v>
      </c>
      <c r="CM121" t="str">
        <f t="shared" si="8"/>
        <v>DT</v>
      </c>
      <c r="CN121" t="s">
        <v>60</v>
      </c>
    </row>
    <row r="122" spans="60:92" x14ac:dyDescent="0.3">
      <c r="BH122" t="s">
        <v>91</v>
      </c>
      <c r="BQ122">
        <v>31</v>
      </c>
      <c r="BR122">
        <f t="shared" si="10"/>
        <v>124</v>
      </c>
      <c r="BS122" t="str">
        <f t="shared" si="7"/>
        <v>DT</v>
      </c>
      <c r="BT122" t="str">
        <f>"    ActiveChart.FullSeriesCollection("&amp;BQ122&amp;").Name=""=Seabed_3ft!$"&amp;BS122&amp;"$2"""</f>
        <v xml:space="preserve">    ActiveChart.FullSeriesCollection(31).Name="=Seabed_3ft!$DT$2"</v>
      </c>
      <c r="CK122">
        <v>31</v>
      </c>
      <c r="CL122">
        <f t="shared" si="9"/>
        <v>124</v>
      </c>
      <c r="CM122" t="str">
        <f t="shared" si="8"/>
        <v>DT</v>
      </c>
      <c r="CN122" t="str">
        <f>"    ActiveChart.FullSeriesCollection("&amp;CK122&amp;").Name=""=Seabed_3ft!$"&amp;CM122&amp;"$2"""</f>
        <v xml:space="preserve">    ActiveChart.FullSeriesCollection(31).Name="=Seabed_3ft!$DT$2"</v>
      </c>
    </row>
    <row r="123" spans="60:92" x14ac:dyDescent="0.3">
      <c r="BH123" t="s">
        <v>148</v>
      </c>
      <c r="BQ123">
        <v>31</v>
      </c>
      <c r="BR123">
        <f t="shared" si="10"/>
        <v>123</v>
      </c>
      <c r="BS123" t="str">
        <f t="shared" si="7"/>
        <v>DS</v>
      </c>
      <c r="BT123" t="str">
        <f>"    ActiveChart.FullSeriesCollection("&amp;BQ123&amp;").XValues=""=Seabed_3ft!$"&amp;BS123&amp;"$4:$"&amp;BS123&amp;"$50000"""</f>
        <v xml:space="preserve">    ActiveChart.FullSeriesCollection(31).XValues="=Seabed_3ft!$DS$4:$DS$50000"</v>
      </c>
      <c r="CK123">
        <v>31</v>
      </c>
      <c r="CL123">
        <f t="shared" si="9"/>
        <v>123</v>
      </c>
      <c r="CM123" t="str">
        <f t="shared" si="8"/>
        <v>DS</v>
      </c>
      <c r="CN123" t="str">
        <f>"    ActiveChart.FullSeriesCollection("&amp;CK123&amp;").XValues=""=Seabed_3ft!$"&amp;CM123&amp;"$4:$"&amp;CM123&amp;"$50000"""</f>
        <v xml:space="preserve">    ActiveChart.FullSeriesCollection(31).XValues="=Seabed_3ft!$DS$4:$DS$50000"</v>
      </c>
    </row>
    <row r="124" spans="60:92" x14ac:dyDescent="0.3">
      <c r="BH124" t="s">
        <v>149</v>
      </c>
      <c r="BQ124">
        <v>31</v>
      </c>
      <c r="BR124">
        <f t="shared" si="10"/>
        <v>126</v>
      </c>
      <c r="BS124" t="str">
        <f t="shared" si="7"/>
        <v>DV</v>
      </c>
      <c r="BT124" t="str">
        <f>"    ActiveChart.FullSeriesCollection("&amp;BQ124&amp;").Values=""=Seabed_3ft!$"&amp;BS124&amp;"$4:$"&amp;BS124&amp;"$50000"""</f>
        <v xml:space="preserve">    ActiveChart.FullSeriesCollection(31).Values="=Seabed_3ft!$DV$4:$DV$50000"</v>
      </c>
      <c r="CK124">
        <v>31</v>
      </c>
      <c r="CL124">
        <f t="shared" si="9"/>
        <v>126</v>
      </c>
      <c r="CM124" t="str">
        <f t="shared" si="8"/>
        <v>DV</v>
      </c>
      <c r="CN124" t="str">
        <f>"    ActiveChart.FullSeriesCollection("&amp;CK124&amp;").Values=""=Seabed_3ft!$"&amp;CM124&amp;"$4:$"&amp;CM124&amp;"$50000"""</f>
        <v xml:space="preserve">    ActiveChart.FullSeriesCollection(31).Values="=Seabed_3ft!$DV$4:$DV$50000"</v>
      </c>
    </row>
    <row r="125" spans="60:92" x14ac:dyDescent="0.3">
      <c r="BH125" t="s">
        <v>60</v>
      </c>
      <c r="BQ125">
        <v>32</v>
      </c>
      <c r="BR125">
        <f t="shared" si="10"/>
        <v>128</v>
      </c>
      <c r="BS125" t="str">
        <f t="shared" si="7"/>
        <v>DX</v>
      </c>
      <c r="BT125" t="s">
        <v>60</v>
      </c>
      <c r="CK125">
        <v>32</v>
      </c>
      <c r="CL125">
        <f t="shared" si="9"/>
        <v>128</v>
      </c>
      <c r="CM125" t="str">
        <f t="shared" si="8"/>
        <v>DX</v>
      </c>
      <c r="CN125" t="s">
        <v>60</v>
      </c>
    </row>
    <row r="126" spans="60:92" x14ac:dyDescent="0.3">
      <c r="BH126" t="s">
        <v>92</v>
      </c>
      <c r="BQ126">
        <v>32</v>
      </c>
      <c r="BR126">
        <f t="shared" si="10"/>
        <v>128</v>
      </c>
      <c r="BS126" t="str">
        <f t="shared" si="7"/>
        <v>DX</v>
      </c>
      <c r="BT126" t="str">
        <f>"    ActiveChart.FullSeriesCollection("&amp;BQ126&amp;").Name=""=Seabed_3ft!$"&amp;BS126&amp;"$2"""</f>
        <v xml:space="preserve">    ActiveChart.FullSeriesCollection(32).Name="=Seabed_3ft!$DX$2"</v>
      </c>
      <c r="CK126">
        <v>32</v>
      </c>
      <c r="CL126">
        <f t="shared" si="9"/>
        <v>128</v>
      </c>
      <c r="CM126" t="str">
        <f t="shared" si="8"/>
        <v>DX</v>
      </c>
      <c r="CN126" t="str">
        <f>"    ActiveChart.FullSeriesCollection("&amp;CK126&amp;").Name=""=Seabed_3ft!$"&amp;CM126&amp;"$2"""</f>
        <v xml:space="preserve">    ActiveChart.FullSeriesCollection(32).Name="=Seabed_3ft!$DX$2"</v>
      </c>
    </row>
    <row r="127" spans="60:92" x14ac:dyDescent="0.3">
      <c r="BH127" t="s">
        <v>150</v>
      </c>
      <c r="BQ127">
        <v>32</v>
      </c>
      <c r="BR127">
        <f t="shared" si="10"/>
        <v>127</v>
      </c>
      <c r="BS127" t="str">
        <f t="shared" si="7"/>
        <v>DW</v>
      </c>
      <c r="BT127" t="str">
        <f>"    ActiveChart.FullSeriesCollection("&amp;BQ127&amp;").XValues=""=Seabed_3ft!$"&amp;BS127&amp;"$4:$"&amp;BS127&amp;"$50000"""</f>
        <v xml:space="preserve">    ActiveChart.FullSeriesCollection(32).XValues="=Seabed_3ft!$DW$4:$DW$50000"</v>
      </c>
      <c r="CK127">
        <v>32</v>
      </c>
      <c r="CL127">
        <f t="shared" si="9"/>
        <v>127</v>
      </c>
      <c r="CM127" t="str">
        <f t="shared" si="8"/>
        <v>DW</v>
      </c>
      <c r="CN127" t="str">
        <f>"    ActiveChart.FullSeriesCollection("&amp;CK127&amp;").XValues=""=Seabed_3ft!$"&amp;CM127&amp;"$4:$"&amp;CM127&amp;"$50000"""</f>
        <v xml:space="preserve">    ActiveChart.FullSeriesCollection(32).XValues="=Seabed_3ft!$DW$4:$DW$50000"</v>
      </c>
    </row>
    <row r="128" spans="60:92" x14ac:dyDescent="0.3">
      <c r="BH128" t="s">
        <v>151</v>
      </c>
      <c r="BQ128">
        <v>32</v>
      </c>
      <c r="BR128">
        <f t="shared" si="10"/>
        <v>130</v>
      </c>
      <c r="BS128" t="str">
        <f t="shared" si="7"/>
        <v>DZ</v>
      </c>
      <c r="BT128" t="str">
        <f>"    ActiveChart.FullSeriesCollection("&amp;BQ128&amp;").Values=""=Seabed_3ft!$"&amp;BS128&amp;"$4:$"&amp;BS128&amp;"$50000"""</f>
        <v xml:space="preserve">    ActiveChart.FullSeriesCollection(32).Values="=Seabed_3ft!$DZ$4:$DZ$50000"</v>
      </c>
      <c r="CK128">
        <v>32</v>
      </c>
      <c r="CL128">
        <f t="shared" si="9"/>
        <v>130</v>
      </c>
      <c r="CM128" t="str">
        <f t="shared" si="8"/>
        <v>DZ</v>
      </c>
      <c r="CN128" t="str">
        <f>"    ActiveChart.FullSeriesCollection("&amp;CK128&amp;").Values=""=Seabed_3ft!$"&amp;CM128&amp;"$4:$"&amp;CM128&amp;"$50000"""</f>
        <v xml:space="preserve">    ActiveChart.FullSeriesCollection(32).Values="=Seabed_3ft!$DZ$4:$DZ$50000"</v>
      </c>
    </row>
    <row r="129" spans="60:92" x14ac:dyDescent="0.3">
      <c r="BH129" t="s">
        <v>60</v>
      </c>
      <c r="BQ129">
        <v>33</v>
      </c>
      <c r="BR129">
        <f t="shared" si="10"/>
        <v>132</v>
      </c>
      <c r="BS129" t="str">
        <f t="shared" si="7"/>
        <v>EB</v>
      </c>
      <c r="BT129" t="s">
        <v>60</v>
      </c>
      <c r="CK129">
        <v>33</v>
      </c>
      <c r="CL129">
        <f t="shared" si="9"/>
        <v>132</v>
      </c>
      <c r="CM129" t="str">
        <f t="shared" si="8"/>
        <v>EB</v>
      </c>
      <c r="CN129" t="s">
        <v>60</v>
      </c>
    </row>
    <row r="130" spans="60:92" x14ac:dyDescent="0.3">
      <c r="BH130" t="s">
        <v>93</v>
      </c>
      <c r="BQ130">
        <v>33</v>
      </c>
      <c r="BR130">
        <f t="shared" si="10"/>
        <v>132</v>
      </c>
      <c r="BS130" t="str">
        <f t="shared" ref="BS130:BS132" si="11">SUBSTITUTE(ADDRESS(1,BR130,4),1,)</f>
        <v>EB</v>
      </c>
      <c r="BT130" t="str">
        <f>"    ActiveChart.FullSeriesCollection("&amp;BQ130&amp;").Name=""=Seabed_3ft!$"&amp;BS130&amp;"$2"""</f>
        <v xml:space="preserve">    ActiveChart.FullSeriesCollection(33).Name="=Seabed_3ft!$EB$2"</v>
      </c>
      <c r="CK130">
        <v>33</v>
      </c>
      <c r="CL130">
        <f t="shared" si="9"/>
        <v>132</v>
      </c>
      <c r="CM130" t="str">
        <f t="shared" si="8"/>
        <v>EB</v>
      </c>
      <c r="CN130" t="str">
        <f>"    ActiveChart.FullSeriesCollection("&amp;CK130&amp;").Name=""=Seabed_3ft!$"&amp;CM130&amp;"$2"""</f>
        <v xml:space="preserve">    ActiveChart.FullSeriesCollection(33).Name="=Seabed_3ft!$EB$2"</v>
      </c>
    </row>
    <row r="131" spans="60:92" x14ac:dyDescent="0.3">
      <c r="BH131" t="s">
        <v>152</v>
      </c>
      <c r="BQ131">
        <v>33</v>
      </c>
      <c r="BR131">
        <f t="shared" si="10"/>
        <v>131</v>
      </c>
      <c r="BS131" t="str">
        <f t="shared" si="11"/>
        <v>EA</v>
      </c>
      <c r="BT131" t="str">
        <f>"    ActiveChart.FullSeriesCollection("&amp;BQ131&amp;").XValues=""=Seabed_3ft!$"&amp;BS131&amp;"$4:$"&amp;BS131&amp;"$50000"""</f>
        <v xml:space="preserve">    ActiveChart.FullSeriesCollection(33).XValues="=Seabed_3ft!$EA$4:$EA$50000"</v>
      </c>
      <c r="CK131">
        <v>33</v>
      </c>
      <c r="CL131">
        <f t="shared" si="9"/>
        <v>131</v>
      </c>
      <c r="CM131" t="str">
        <f t="shared" si="8"/>
        <v>EA</v>
      </c>
      <c r="CN131" t="str">
        <f>"    ActiveChart.FullSeriesCollection("&amp;CK131&amp;").XValues=""=Seabed_3ft!$"&amp;CM131&amp;"$4:$"&amp;CM131&amp;"$50000"""</f>
        <v xml:space="preserve">    ActiveChart.FullSeriesCollection(33).XValues="=Seabed_3ft!$EA$4:$EA$50000"</v>
      </c>
    </row>
    <row r="132" spans="60:92" x14ac:dyDescent="0.3">
      <c r="BH132" t="s">
        <v>159</v>
      </c>
      <c r="BQ132">
        <v>33</v>
      </c>
      <c r="BR132">
        <f t="shared" si="10"/>
        <v>134</v>
      </c>
      <c r="BS132" t="str">
        <f t="shared" si="11"/>
        <v>ED</v>
      </c>
      <c r="BT132" t="str">
        <f>"    ActiveChart.FullSeriesCollection("&amp;BQ132&amp;").Values=""=Seabed_3ft!$"&amp;BS132&amp;"$4:$"&amp;BS132&amp;"$50000"""</f>
        <v xml:space="preserve">    ActiveChart.FullSeriesCollection(33).Values="=Seabed_3ft!$ED$4:$ED$50000"</v>
      </c>
      <c r="CK132">
        <v>33</v>
      </c>
      <c r="CL132">
        <f t="shared" si="9"/>
        <v>134</v>
      </c>
      <c r="CM132" t="str">
        <f t="shared" si="8"/>
        <v>ED</v>
      </c>
      <c r="CN132" t="str">
        <f>"    ActiveChart.FullSeriesCollection("&amp;CK132&amp;").Values=""=Seabed_3ft!$"&amp;CM132&amp;"$4:$"&amp;CM132&amp;"$50000"""</f>
        <v xml:space="preserve">    ActiveChart.FullSeriesCollection(33).Values="=Seabed_3ft!$ED$4:$ED$50000"</v>
      </c>
    </row>
  </sheetData>
  <sortState xmlns:xlrd2="http://schemas.microsoft.com/office/spreadsheetml/2017/richdata2" ref="A2:D34">
    <sortCondition ref="A2"/>
  </sortState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73EB5-FBA5-4BE4-8304-27371588879A}">
  <sheetPr codeName="Sheet2"/>
  <dimension ref="A1:BB10"/>
  <sheetViews>
    <sheetView zoomScale="130" zoomScaleNormal="130" workbookViewId="0">
      <selection activeCell="E16" sqref="E16"/>
    </sheetView>
  </sheetViews>
  <sheetFormatPr defaultColWidth="9.21875" defaultRowHeight="14.4" x14ac:dyDescent="0.3"/>
  <cols>
    <col min="1" max="1" width="9.21875" bestFit="1" customWidth="1"/>
    <col min="2" max="3" width="12.21875" customWidth="1"/>
    <col min="4" max="5" width="12.33203125" bestFit="1" customWidth="1"/>
    <col min="6" max="6" width="10.88671875" bestFit="1" customWidth="1"/>
    <col min="7" max="7" width="11.6640625" bestFit="1" customWidth="1"/>
    <col min="8" max="8" width="12.33203125" bestFit="1" customWidth="1"/>
    <col min="9" max="9" width="11.5546875" bestFit="1" customWidth="1"/>
    <col min="10" max="10" width="9.21875" style="20" bestFit="1" customWidth="1"/>
    <col min="11" max="11" width="11.5546875" style="12" bestFit="1" customWidth="1"/>
    <col min="12" max="12" width="12.33203125" style="12" bestFit="1" customWidth="1"/>
    <col min="13" max="13" width="11.5546875" style="12" bestFit="1" customWidth="1"/>
    <col min="14" max="14" width="9.21875" style="20" bestFit="1" customWidth="1"/>
    <col min="15" max="15" width="10.77734375" style="12" customWidth="1"/>
    <col min="16" max="17" width="11.5546875" style="12" bestFit="1" customWidth="1"/>
    <col min="18" max="18" width="9.21875" style="20" bestFit="1" customWidth="1"/>
    <col min="19" max="19" width="8.88671875" style="12" bestFit="1" customWidth="1"/>
    <col min="20" max="20" width="13.5546875" style="12" customWidth="1"/>
    <col min="21" max="21" width="11.5546875" style="12" bestFit="1" customWidth="1"/>
    <col min="22" max="22" width="9.21875" style="12" bestFit="1" customWidth="1"/>
    <col min="23" max="23" width="8.88671875" style="12" bestFit="1" customWidth="1"/>
    <col min="24" max="25" width="11.5546875" style="12" bestFit="1" customWidth="1"/>
    <col min="26" max="26" width="9.21875" style="12" bestFit="1" customWidth="1"/>
    <col min="27" max="27" width="8.88671875" style="12" bestFit="1" customWidth="1"/>
    <col min="28" max="29" width="11.5546875" style="12" bestFit="1" customWidth="1"/>
    <col min="30" max="30" width="9.21875" style="12" bestFit="1" customWidth="1"/>
    <col min="31" max="31" width="8.88671875" style="12" bestFit="1" customWidth="1"/>
    <col min="32" max="33" width="11.5546875" style="12" bestFit="1" customWidth="1"/>
    <col min="34" max="34" width="9.21875" style="12" bestFit="1" customWidth="1"/>
    <col min="35" max="35" width="8.88671875" style="12" bestFit="1" customWidth="1"/>
    <col min="36" max="37" width="11.5546875" style="12" bestFit="1" customWidth="1"/>
    <col min="38" max="38" width="9.21875" style="12" bestFit="1" customWidth="1"/>
    <col min="39" max="39" width="8.88671875" style="12" bestFit="1" customWidth="1"/>
    <col min="40" max="41" width="11.5546875" style="12" bestFit="1" customWidth="1"/>
    <col min="42" max="42" width="9.21875" style="12" bestFit="1" customWidth="1"/>
    <col min="43" max="43" width="11.6640625" style="12" bestFit="1" customWidth="1"/>
    <col min="44" max="45" width="11.5546875" style="12" bestFit="1" customWidth="1"/>
    <col min="46" max="46" width="9.21875" style="12" bestFit="1" customWidth="1"/>
    <col min="47" max="47" width="8.77734375" style="12"/>
    <col min="48" max="49" width="10.5546875" style="12" bestFit="1" customWidth="1"/>
    <col min="50" max="51" width="8.77734375" style="12"/>
    <col min="52" max="53" width="10.5546875" style="12" bestFit="1" customWidth="1"/>
    <col min="54" max="54" width="8.77734375" style="12"/>
    <col min="56" max="57" width="10.5546875" bestFit="1" customWidth="1"/>
    <col min="60" max="61" width="10.5546875" bestFit="1" customWidth="1"/>
    <col min="64" max="65" width="10.5546875" bestFit="1" customWidth="1"/>
    <col min="68" max="69" width="10.5546875" bestFit="1" customWidth="1"/>
    <col min="72" max="73" width="10.5546875" bestFit="1" customWidth="1"/>
    <col min="76" max="77" width="10.5546875" bestFit="1" customWidth="1"/>
    <col min="80" max="81" width="10.5546875" bestFit="1" customWidth="1"/>
    <col min="84" max="85" width="10.5546875" bestFit="1" customWidth="1"/>
    <col min="88" max="89" width="10.5546875" bestFit="1" customWidth="1"/>
    <col min="92" max="92" width="12" bestFit="1" customWidth="1"/>
    <col min="93" max="93" width="10.5546875" bestFit="1" customWidth="1"/>
    <col min="96" max="97" width="10.5546875" bestFit="1" customWidth="1"/>
    <col min="100" max="101" width="10.5546875" bestFit="1" customWidth="1"/>
    <col min="104" max="105" width="10.5546875" bestFit="1" customWidth="1"/>
    <col min="108" max="109" width="10.5546875" bestFit="1" customWidth="1"/>
    <col min="112" max="113" width="10.5546875" bestFit="1" customWidth="1"/>
    <col min="116" max="117" width="10.5546875" bestFit="1" customWidth="1"/>
    <col min="120" max="121" width="10.5546875" bestFit="1" customWidth="1"/>
    <col min="124" max="125" width="10.5546875" bestFit="1" customWidth="1"/>
    <col min="128" max="129" width="10.5546875" bestFit="1" customWidth="1"/>
    <col min="132" max="133" width="10.5546875" bestFit="1" customWidth="1"/>
  </cols>
  <sheetData>
    <row r="1" spans="1:46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 s="20">
        <v>10</v>
      </c>
      <c r="K1" s="12">
        <v>11</v>
      </c>
      <c r="L1" s="12">
        <v>12</v>
      </c>
      <c r="M1" s="12">
        <v>13</v>
      </c>
      <c r="N1" s="20">
        <v>14</v>
      </c>
      <c r="O1" s="12">
        <v>15</v>
      </c>
      <c r="P1" s="12">
        <v>16</v>
      </c>
      <c r="Q1" s="12">
        <v>17</v>
      </c>
      <c r="R1" s="20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  <c r="Z1" s="12">
        <v>26</v>
      </c>
      <c r="AA1" s="12">
        <v>27</v>
      </c>
      <c r="AB1" s="12">
        <v>28</v>
      </c>
      <c r="AC1" s="12">
        <v>29</v>
      </c>
      <c r="AD1" s="12">
        <v>30</v>
      </c>
      <c r="AE1" s="12">
        <v>31</v>
      </c>
      <c r="AF1" s="12">
        <v>32</v>
      </c>
      <c r="AG1" s="12">
        <v>33</v>
      </c>
      <c r="AH1" s="12">
        <v>34</v>
      </c>
      <c r="AI1" s="12">
        <v>35</v>
      </c>
      <c r="AJ1" s="12">
        <v>36</v>
      </c>
      <c r="AK1" s="12">
        <v>37</v>
      </c>
      <c r="AL1" s="12">
        <v>38</v>
      </c>
      <c r="AM1" s="12">
        <v>39</v>
      </c>
      <c r="AN1" s="12">
        <v>40</v>
      </c>
      <c r="AO1" s="12">
        <v>41</v>
      </c>
      <c r="AP1" s="12">
        <v>42</v>
      </c>
      <c r="AQ1" s="12">
        <v>43</v>
      </c>
      <c r="AR1" s="12">
        <v>44</v>
      </c>
      <c r="AS1" s="12">
        <v>45</v>
      </c>
      <c r="AT1" s="12">
        <v>46</v>
      </c>
    </row>
    <row r="2" spans="1:46" x14ac:dyDescent="0.3">
      <c r="A2" s="10" t="s">
        <v>43</v>
      </c>
      <c r="B2" s="10">
        <f>SQRT((D5-D4)^2+(E5-E4)^2)</f>
        <v>99.999999999619831</v>
      </c>
      <c r="D2" t="s">
        <v>5</v>
      </c>
      <c r="F2">
        <f>SQRT((D5-(X5))^2+(E5-(Y5))^2)</f>
        <v>50.001875964993218</v>
      </c>
      <c r="H2" t="s">
        <v>6</v>
      </c>
      <c r="J2" s="20">
        <f>SQRT((H5-(X5))^2+(I5-(Y5))^2)</f>
        <v>39.999671248478862</v>
      </c>
      <c r="L2" s="12" t="s">
        <v>7</v>
      </c>
      <c r="N2" s="20">
        <f>SQRT((L5-(X5))^2+(M5-(Y5))^2)</f>
        <v>29.997466560872518</v>
      </c>
      <c r="P2" s="12" t="s">
        <v>8</v>
      </c>
      <c r="R2" s="20">
        <f>SQRT((P5-(X5))^2+(Q5-(Y5))^2)</f>
        <v>19.995261939591387</v>
      </c>
      <c r="T2" s="12" t="s">
        <v>9</v>
      </c>
      <c r="V2">
        <f>SQRT((T5-(X5))^2+(U5-(Y5))^2)</f>
        <v>10.002204757308174</v>
      </c>
      <c r="X2" s="12" t="s">
        <v>10</v>
      </c>
      <c r="Z2">
        <f>SQRT((X5-(X5))^2+(Y5-(Y5))^2)</f>
        <v>0</v>
      </c>
      <c r="AB2" s="12" t="s">
        <v>11</v>
      </c>
      <c r="AD2">
        <f>SQRT((AB5-(X5))^2+(AC5-(Y5))^2)</f>
        <v>10.002204757308174</v>
      </c>
      <c r="AF2" s="12" t="s">
        <v>12</v>
      </c>
      <c r="AH2">
        <f>SQRT((AF5-(X5))^2+(AG5-(Y5))^2)</f>
        <v>19.995261937981681</v>
      </c>
      <c r="AJ2" s="12" t="s">
        <v>13</v>
      </c>
      <c r="AL2">
        <f>SQRT((AJ5-(X5))^2+(AK5-(Y5))^2)</f>
        <v>29.997466559262747</v>
      </c>
      <c r="AN2" s="12" t="s">
        <v>14</v>
      </c>
      <c r="AP2">
        <f>SQRT((AN5-(X5))^2+(AO5-(Y5))^2)</f>
        <v>39.999671248572923</v>
      </c>
      <c r="AR2" s="12" t="s">
        <v>15</v>
      </c>
      <c r="AT2">
        <f>SQRT((AR5-(X5))^2+(AS5-(Y5))^2)</f>
        <v>50.001875965087279</v>
      </c>
    </row>
    <row r="3" spans="1:46" ht="15" customHeight="1" x14ac:dyDescent="0.3">
      <c r="A3" s="10" t="s">
        <v>315</v>
      </c>
      <c r="B3" s="10" t="s">
        <v>316</v>
      </c>
      <c r="C3" t="s">
        <v>4</v>
      </c>
      <c r="D3" t="s">
        <v>0</v>
      </c>
      <c r="E3" t="s">
        <v>1</v>
      </c>
      <c r="F3" t="s">
        <v>2</v>
      </c>
      <c r="G3" t="s">
        <v>4</v>
      </c>
      <c r="H3" t="s">
        <v>0</v>
      </c>
      <c r="I3" t="s">
        <v>1</v>
      </c>
      <c r="J3" s="20" t="s">
        <v>2</v>
      </c>
      <c r="K3" s="12" t="s">
        <v>4</v>
      </c>
      <c r="L3" s="12" t="s">
        <v>0</v>
      </c>
      <c r="M3" s="12" t="s">
        <v>1</v>
      </c>
      <c r="N3" s="20" t="s">
        <v>2</v>
      </c>
      <c r="O3" s="12" t="s">
        <v>4</v>
      </c>
      <c r="P3" s="12" t="s">
        <v>0</v>
      </c>
      <c r="Q3" s="12" t="s">
        <v>1</v>
      </c>
      <c r="R3" s="20" t="s">
        <v>2</v>
      </c>
      <c r="S3" s="12" t="s">
        <v>4</v>
      </c>
      <c r="T3" s="12" t="s">
        <v>0</v>
      </c>
      <c r="U3" s="12" t="s">
        <v>1</v>
      </c>
      <c r="V3" s="12" t="s">
        <v>2</v>
      </c>
      <c r="W3" s="12" t="s">
        <v>4</v>
      </c>
      <c r="X3" s="12" t="s">
        <v>0</v>
      </c>
      <c r="Y3" s="12" t="s">
        <v>1</v>
      </c>
      <c r="Z3" s="12" t="s">
        <v>2</v>
      </c>
      <c r="AA3" s="12" t="s">
        <v>4</v>
      </c>
      <c r="AB3" s="12" t="s">
        <v>0</v>
      </c>
      <c r="AC3" s="12" t="s">
        <v>1</v>
      </c>
      <c r="AD3" s="12" t="s">
        <v>2</v>
      </c>
      <c r="AE3" s="12" t="s">
        <v>4</v>
      </c>
      <c r="AF3" s="12" t="s">
        <v>0</v>
      </c>
      <c r="AG3" s="12" t="s">
        <v>1</v>
      </c>
      <c r="AH3" s="12" t="s">
        <v>2</v>
      </c>
      <c r="AI3" s="12" t="s">
        <v>4</v>
      </c>
      <c r="AJ3" s="12" t="s">
        <v>0</v>
      </c>
      <c r="AK3" s="12" t="s">
        <v>1</v>
      </c>
      <c r="AL3" s="12" t="s">
        <v>2</v>
      </c>
      <c r="AM3" s="12" t="s">
        <v>4</v>
      </c>
      <c r="AN3" s="12" t="s">
        <v>0</v>
      </c>
      <c r="AO3" s="12" t="s">
        <v>1</v>
      </c>
      <c r="AP3" s="12" t="s">
        <v>2</v>
      </c>
      <c r="AQ3" s="12" t="s">
        <v>4</v>
      </c>
      <c r="AR3" s="12" t="s">
        <v>0</v>
      </c>
      <c r="AS3" s="12" t="s">
        <v>1</v>
      </c>
      <c r="AT3" s="12" t="s">
        <v>2</v>
      </c>
    </row>
    <row r="4" spans="1:46" s="10" customFormat="1" x14ac:dyDescent="0.3">
      <c r="A4" s="10" t="s">
        <v>317</v>
      </c>
      <c r="B4" s="10">
        <v>-100</v>
      </c>
      <c r="C4" s="67">
        <v>-100</v>
      </c>
      <c r="D4" s="67">
        <f>D5-100*(D6-D5)/SQRT((D6-D5)^2+(E6-E5)^2)</f>
        <v>1495533.121451966</v>
      </c>
      <c r="E4" s="67">
        <f>E5-100*(E6-E5)/SQRT((D6-D5)^2+(E6-E5)^2)</f>
        <v>9782896.0621558763</v>
      </c>
      <c r="F4" s="67">
        <f>F5</f>
        <v>-3956.16</v>
      </c>
      <c r="G4" s="67">
        <v>-100</v>
      </c>
      <c r="H4" s="67">
        <f>H5-100*(H6-H5)/SQRT((H6-H5)^2+(I6-I5)^2)</f>
        <v>1495528.9584967459</v>
      </c>
      <c r="I4" s="67">
        <f>I5-100*(I6-I5)/SQRT((H6-H5)^2+(I6-I5)^2)</f>
        <v>9782886.6338613983</v>
      </c>
      <c r="J4" s="67">
        <f>J5</f>
        <v>-3956.3</v>
      </c>
      <c r="K4" s="67">
        <v>-100</v>
      </c>
      <c r="L4" s="67">
        <f>L5-100*(L6-L5)/SQRT((L6-L5)^2+(M6-M5)^2)</f>
        <v>1495524.9184967687</v>
      </c>
      <c r="M4" s="67">
        <f>M5-100*(M6-M5)/SQRT((L6-L5)^2+(M6-M5)^2)</f>
        <v>9782877.483861452</v>
      </c>
      <c r="N4" s="67">
        <f>N5</f>
        <v>-3956.37</v>
      </c>
      <c r="O4" s="67">
        <v>-100</v>
      </c>
      <c r="P4" s="67">
        <f>P5-100*(P6-P5)/SQRT((P6-P5)^2+(Q6-Q5)^2)</f>
        <v>1495520.8784967687</v>
      </c>
      <c r="Q4" s="67">
        <f>Q5-100*(Q6-Q5)/SQRT((P6-P5)^2+(Q6-Q5)^2)</f>
        <v>9782868.3338614516</v>
      </c>
      <c r="R4" s="67">
        <f>R5</f>
        <v>-3956.48</v>
      </c>
      <c r="S4" s="67">
        <v>-100</v>
      </c>
      <c r="T4" s="67">
        <f>T5-100*(T6-T5)/SQRT((T6-T5)^2+(U6-U5)^2)</f>
        <v>1495516.9614519661</v>
      </c>
      <c r="U4" s="67">
        <f>U5-100*(U6-U5)/SQRT((T6-T5)^2+(U6-U5)^2)</f>
        <v>9782859.4721558765</v>
      </c>
      <c r="V4" s="67">
        <f>V5</f>
        <v>-3956.62</v>
      </c>
      <c r="W4" s="67">
        <v>-100</v>
      </c>
      <c r="X4" s="67">
        <f>X5-100*(X6-X5)/SQRT((X6-X5)^2+(Y6-Y5)^2)</f>
        <v>1495512.8527308209</v>
      </c>
      <c r="Y4" s="67">
        <f>Y5-100*(Y6-Y5)/SQRT((X6-X5)^2+(Y6-Y5)^2)</f>
        <v>9782850.166896211</v>
      </c>
      <c r="Z4" s="67">
        <f>Z5</f>
        <v>-3956.68</v>
      </c>
      <c r="AA4" s="67">
        <v>-100</v>
      </c>
      <c r="AB4" s="67">
        <f>AB5-100*(AB6-AB5)/SQRT((AB6-AB5)^2+(AC6-AC5)^2)</f>
        <v>1495508.8127308208</v>
      </c>
      <c r="AC4" s="67">
        <f>AC5-100*(AC6-AC5)/SQRT((AB6-AB5)^2+(AC6-AC5)^2)</f>
        <v>9782841.0168962106</v>
      </c>
      <c r="AD4" s="67">
        <f>AD5</f>
        <v>-3956.77</v>
      </c>
      <c r="AE4" s="67">
        <v>-100</v>
      </c>
      <c r="AF4" s="67">
        <f>AF5-100*(AF6-AF5)/SQRT((AF6-AF5)^2+(AG6-AG5)^2)</f>
        <v>1495504.8963636109</v>
      </c>
      <c r="AG4" s="67">
        <f>AG5-100*(AG6-AG5)/SQRT((AF6-AF5)^2+(AG6-AG5)^2)</f>
        <v>9782832.1557067372</v>
      </c>
      <c r="AH4" s="67">
        <f>AH5</f>
        <v>-3956.86</v>
      </c>
      <c r="AI4" s="67">
        <v>-100</v>
      </c>
      <c r="AJ4" s="67">
        <f>AJ5-100*(AJ6-AJ5)/SQRT((AJ6-AJ5)^2+(AK6-AK5)^2)</f>
        <v>1495500.7327308436</v>
      </c>
      <c r="AK4" s="67">
        <f>AK5-100*(AK6-AK5)/SQRT((AJ6-AJ5)^2+(AK6-AK5)^2)</f>
        <v>9782822.7268962637</v>
      </c>
      <c r="AL4" s="67">
        <f>AL5</f>
        <v>-3956.96</v>
      </c>
      <c r="AM4" s="67">
        <v>-100</v>
      </c>
      <c r="AN4" s="67">
        <f>AN5-100*(AN6-AN5)/SQRT((AN6-AN5)^2+(AO6-AO5)^2)</f>
        <v>1495496.6927308207</v>
      </c>
      <c r="AO4" s="67">
        <f>AO5-100*(AO6-AO5)/SQRT((AN6-AN5)^2+(AO6-AO5)^2)</f>
        <v>9782813.5768962111</v>
      </c>
      <c r="AP4" s="67">
        <f>AP5</f>
        <v>-3957.07</v>
      </c>
      <c r="AQ4" s="67">
        <v>-100</v>
      </c>
      <c r="AR4" s="67">
        <f>AR5-100*(AR6-AR5)/SQRT((AR6-AR5)^2+(AS6-AS5)^2)</f>
        <v>1495492.6527308193</v>
      </c>
      <c r="AS4" s="67">
        <f>AS5-100*(AS6-AS5)/SQRT((AR6-AR5)^2+(AS6-AS5)^2)</f>
        <v>9782804.426896207</v>
      </c>
      <c r="AT4" s="67">
        <f>AT5</f>
        <v>-3957.15</v>
      </c>
    </row>
    <row r="5" spans="1:46" x14ac:dyDescent="0.3">
      <c r="A5">
        <f>INDEX(Data!$A:$A,2+(ROW()-5)*11)</f>
        <v>1</v>
      </c>
      <c r="B5">
        <f t="shared" ref="B5:B7" si="0">ROW()-4</f>
        <v>1</v>
      </c>
      <c r="C5" s="7">
        <v>0</v>
      </c>
      <c r="D5" s="7">
        <f>INDEX(Data!$B:$B,2+(ROW()-5)*11+0)</f>
        <v>1495624.53</v>
      </c>
      <c r="E5" s="7">
        <f>INDEX(Data!$C:$C,2+(ROW()-5)*11+0)</f>
        <v>9782855.5099999998</v>
      </c>
      <c r="F5" s="7">
        <f>INDEX(Data!$D:$D,2+(ROW()-5)*11+0)</f>
        <v>-3956.16</v>
      </c>
      <c r="G5" s="7">
        <v>0</v>
      </c>
      <c r="H5" s="7">
        <f>INDEX(Data!$B:$B,2+(ROW()-5)*11+1)</f>
        <v>1495620.49</v>
      </c>
      <c r="I5" s="7">
        <f>INDEX(Data!$C:$C,2+(ROW()-5)*11+1)</f>
        <v>9782846.3599999994</v>
      </c>
      <c r="J5" s="7">
        <f>INDEX(Data!$D:$D,2+(ROW()-5)*11+1)</f>
        <v>-3956.3</v>
      </c>
      <c r="K5" s="7">
        <v>0</v>
      </c>
      <c r="L5" s="7">
        <f>INDEX(Data!$B:$B,2+(ROW()-5)*11+2)</f>
        <v>1495616.45</v>
      </c>
      <c r="M5" s="7">
        <f>INDEX(Data!$C:$C,2+(ROW()-5)*11+2)</f>
        <v>9782837.2100000009</v>
      </c>
      <c r="N5" s="7">
        <f>INDEX(Data!$D:$D,2+(ROW()-5)*11+2)</f>
        <v>-3956.37</v>
      </c>
      <c r="O5" s="7">
        <v>0</v>
      </c>
      <c r="P5" s="7">
        <f>INDEX(Data!$B:$B,2+(ROW()-5)*11+3)</f>
        <v>1495612.41</v>
      </c>
      <c r="Q5" s="7">
        <f>INDEX(Data!$C:$C,2+(ROW()-5)*11+3)</f>
        <v>9782828.0600000005</v>
      </c>
      <c r="R5" s="7">
        <f>INDEX(Data!$D:$D,2+(ROW()-5)*11+3)</f>
        <v>-3956.48</v>
      </c>
      <c r="S5" s="7">
        <v>0</v>
      </c>
      <c r="T5" s="7">
        <f>INDEX(Data!$B:$B,2+(ROW()-5)*11+4)</f>
        <v>1495608.37</v>
      </c>
      <c r="U5" s="7">
        <f>INDEX(Data!$C:$C,2+(ROW()-5)*11+4)</f>
        <v>9782818.9199999999</v>
      </c>
      <c r="V5" s="7">
        <f>INDEX(Data!$D:$D,2+(ROW()-5)*11+4)</f>
        <v>-3956.62</v>
      </c>
      <c r="W5" s="7">
        <v>0</v>
      </c>
      <c r="X5" s="7">
        <f>INDEX(Data!$B:$B,2+(ROW()-5)*11+5)</f>
        <v>1495604.33</v>
      </c>
      <c r="Y5" s="7">
        <f>INDEX(Data!$C:$C,2+(ROW()-5)*11+5)</f>
        <v>9782809.7699999996</v>
      </c>
      <c r="Z5" s="7">
        <f>INDEX(Data!$D:$D,2+(ROW()-5)*11+5)</f>
        <v>-3956.68</v>
      </c>
      <c r="AA5" s="7">
        <v>0</v>
      </c>
      <c r="AB5" s="7">
        <f>INDEX(Data!$B:$B,2+(ROW()-5)*11+6)</f>
        <v>1495600.29</v>
      </c>
      <c r="AC5" s="7">
        <f>INDEX(Data!$C:$C,2+(ROW()-5)*11+6)</f>
        <v>9782800.6199999992</v>
      </c>
      <c r="AD5" s="7">
        <f>INDEX(Data!$D:$D,2+(ROW()-5)*11+6)</f>
        <v>-3956.77</v>
      </c>
      <c r="AE5" s="7">
        <v>0</v>
      </c>
      <c r="AF5" s="7">
        <f>INDEX(Data!$B:$B,2+(ROW()-5)*11+7)</f>
        <v>1495596.25</v>
      </c>
      <c r="AG5" s="7">
        <f>INDEX(Data!$C:$C,2+(ROW()-5)*11+7)</f>
        <v>9782791.4800000004</v>
      </c>
      <c r="AH5" s="7">
        <f>INDEX(Data!$D:$D,2+(ROW()-5)*11+7)</f>
        <v>-3956.86</v>
      </c>
      <c r="AI5" s="7">
        <v>0</v>
      </c>
      <c r="AJ5" s="7">
        <f>INDEX(Data!$B:$B,2+(ROW()-5)*11+8)</f>
        <v>1495592.21</v>
      </c>
      <c r="AK5" s="7">
        <f>INDEX(Data!$C:$C,2+(ROW()-5)*11+8)</f>
        <v>9782782.3300000001</v>
      </c>
      <c r="AL5" s="7">
        <f>INDEX(Data!$D:$D,2+(ROW()-5)*11+8)</f>
        <v>-3956.96</v>
      </c>
      <c r="AM5" s="7">
        <v>0</v>
      </c>
      <c r="AN5" s="7">
        <f>INDEX(Data!$B:$B,2+(ROW()-5)*11+9)</f>
        <v>1495588.17</v>
      </c>
      <c r="AO5" s="7">
        <f>INDEX(Data!$C:$C,2+(ROW()-5)*11+9)</f>
        <v>9782773.1799999997</v>
      </c>
      <c r="AP5" s="7">
        <f>INDEX(Data!$D:$D,2+(ROW()-5)*11+9)</f>
        <v>-3957.07</v>
      </c>
      <c r="AQ5" s="7">
        <v>0</v>
      </c>
      <c r="AR5" s="7">
        <f>INDEX(Data!$B:$B,2+(ROW()-5)*11+10)</f>
        <v>1495584.13</v>
      </c>
      <c r="AS5" s="7">
        <f>INDEX(Data!$C:$C,2+(ROW()-5)*11+10)</f>
        <v>9782764.0299999993</v>
      </c>
      <c r="AT5" s="7">
        <f>INDEX(Data!$D:$D,2+(ROW()-5)*11+10)</f>
        <v>-3957.15</v>
      </c>
    </row>
    <row r="6" spans="1:46" x14ac:dyDescent="0.3">
      <c r="A6">
        <f>INDEX(Data!$A:$A,2+(ROW()-5)*11)</f>
        <v>12</v>
      </c>
      <c r="B6">
        <f t="shared" si="0"/>
        <v>2</v>
      </c>
      <c r="C6" s="7">
        <f t="shared" ref="C6:C7" si="1">C5+SQRT((D6-D5)^2+(E6-E5)^2)</f>
        <v>3.0084713729128532</v>
      </c>
      <c r="D6" s="7">
        <f>INDEX(Data!$B:$B,2+(ROW()-5)*11+0)</f>
        <v>1495627.28</v>
      </c>
      <c r="E6" s="7">
        <f>INDEX(Data!$C:$C,2+(ROW()-5)*11+0)</f>
        <v>9782854.2899999991</v>
      </c>
      <c r="F6" s="7">
        <f>INDEX(Data!$D:$D,2+(ROW()-5)*11+0)</f>
        <v>-3956.16</v>
      </c>
      <c r="G6" s="7">
        <f t="shared" ref="G6:G7" si="2">G5+SQRT((H6-H5)^2+(I6-I5)^2)</f>
        <v>3.0044300620344031</v>
      </c>
      <c r="H6" s="7">
        <f>INDEX(Data!$B:$B,2+(ROW()-5)*11+1)</f>
        <v>1495623.24</v>
      </c>
      <c r="I6" s="7">
        <f>INDEX(Data!$C:$C,2+(ROW()-5)*11+1)</f>
        <v>9782845.1500000004</v>
      </c>
      <c r="J6" s="7">
        <f>INDEX(Data!$D:$D,2+(ROW()-5)*11+1)</f>
        <v>-3956.28</v>
      </c>
      <c r="K6" s="7">
        <f t="shared" ref="K6:K7" si="3">K5+SQRT((L6-L5)^2+(M6-M5)^2)</f>
        <v>3.0044300627845621</v>
      </c>
      <c r="L6" s="7">
        <f>INDEX(Data!$B:$B,2+(ROW()-5)*11+2)</f>
        <v>1495619.2</v>
      </c>
      <c r="M6" s="7">
        <f>INDEX(Data!$C:$C,2+(ROW()-5)*11+2)</f>
        <v>9782836</v>
      </c>
      <c r="N6" s="7">
        <f>INDEX(Data!$D:$D,2+(ROW()-5)*11+2)</f>
        <v>-3956.36</v>
      </c>
      <c r="O6" s="7">
        <f t="shared" ref="O6:O7" si="4">O5+SQRT((P6-P5)^2+(Q6-Q5)^2)</f>
        <v>3.0044300627845621</v>
      </c>
      <c r="P6" s="7">
        <f>INDEX(Data!$B:$B,2+(ROW()-5)*11+3)</f>
        <v>1495615.16</v>
      </c>
      <c r="Q6" s="7">
        <f>INDEX(Data!$C:$C,2+(ROW()-5)*11+3)</f>
        <v>9782826.8499999996</v>
      </c>
      <c r="R6" s="7">
        <f>INDEX(Data!$D:$D,2+(ROW()-5)*11+3)</f>
        <v>-3956.48</v>
      </c>
      <c r="S6" s="7">
        <f t="shared" ref="S6:S7" si="5">S5+SQRT((T6-T5)^2+(U6-U5)^2)</f>
        <v>3.0084713729128532</v>
      </c>
      <c r="T6" s="7">
        <f>INDEX(Data!$B:$B,2+(ROW()-5)*11+4)</f>
        <v>1495611.12</v>
      </c>
      <c r="U6" s="7">
        <f>INDEX(Data!$C:$C,2+(ROW()-5)*11+4)</f>
        <v>9782817.6999999993</v>
      </c>
      <c r="V6" s="7">
        <f>INDEX(Data!$D:$D,2+(ROW()-5)*11+4)</f>
        <v>-3956.6</v>
      </c>
      <c r="W6" s="7">
        <f t="shared" ref="W6:W7" si="6">W5+SQRT((X6-X5)^2+(Y6-Y5)^2)</f>
        <v>2.9952796192684601</v>
      </c>
      <c r="X6" s="7">
        <f>INDEX(Data!$B:$B,2+(ROW()-5)*11+5)</f>
        <v>1495607.07</v>
      </c>
      <c r="Y6" s="7">
        <f>INDEX(Data!$C:$C,2+(ROW()-5)*11+5)</f>
        <v>9782808.5600000005</v>
      </c>
      <c r="Z6" s="7">
        <f>INDEX(Data!$D:$D,2+(ROW()-5)*11+5)</f>
        <v>-3956.68</v>
      </c>
      <c r="AA6" s="7">
        <f t="shared" ref="AA6:AA7" si="7">AA5+SQRT((AB6-AB5)^2+(AC6-AC5)^2)</f>
        <v>2.9952796192684601</v>
      </c>
      <c r="AB6" s="7">
        <f>INDEX(Data!$B:$B,2+(ROW()-5)*11+6)</f>
        <v>1495603.03</v>
      </c>
      <c r="AC6" s="7">
        <f>INDEX(Data!$C:$C,2+(ROW()-5)*11+6)</f>
        <v>9782799.4100000001</v>
      </c>
      <c r="AD6" s="7">
        <f>INDEX(Data!$D:$D,2+(ROW()-5)*11+6)</f>
        <v>-3956.76</v>
      </c>
      <c r="AE6" s="7">
        <f t="shared" ref="AE6:AE7" si="8">AE5+SQRT((AF6-AF5)^2+(AG6-AG5)^2)</f>
        <v>2.9993332595070377</v>
      </c>
      <c r="AF6" s="7">
        <f>INDEX(Data!$B:$B,2+(ROW()-5)*11+7)</f>
        <v>1495598.99</v>
      </c>
      <c r="AG6" s="7">
        <f>INDEX(Data!$C:$C,2+(ROW()-5)*11+7)</f>
        <v>9782790.2599999998</v>
      </c>
      <c r="AH6" s="7">
        <f>INDEX(Data!$D:$D,2+(ROW()-5)*11+7)</f>
        <v>-3956.86</v>
      </c>
      <c r="AI6" s="7">
        <f t="shared" ref="AI6:AI7" si="9">AI5+SQRT((AJ6-AJ5)^2+(AK6-AK5)^2)</f>
        <v>2.9952796200209111</v>
      </c>
      <c r="AJ6" s="7">
        <f>INDEX(Data!$B:$B,2+(ROW()-5)*11+8)</f>
        <v>1495594.95</v>
      </c>
      <c r="AK6" s="7">
        <f>INDEX(Data!$C:$C,2+(ROW()-5)*11+8)</f>
        <v>9782781.1199999992</v>
      </c>
      <c r="AL6" s="7">
        <f>INDEX(Data!$D:$D,2+(ROW()-5)*11+8)</f>
        <v>-3956.95</v>
      </c>
      <c r="AM6" s="7">
        <f t="shared" ref="AM6:AM7" si="10">AM5+SQRT((AN6-AN5)^2+(AO6-AO5)^2)</f>
        <v>2.9952796192684601</v>
      </c>
      <c r="AN6" s="7">
        <f>INDEX(Data!$B:$B,2+(ROW()-5)*11+9)</f>
        <v>1495590.91</v>
      </c>
      <c r="AO6" s="7">
        <f>INDEX(Data!$C:$C,2+(ROW()-5)*11+9)</f>
        <v>9782771.9700000007</v>
      </c>
      <c r="AP6" s="7">
        <f>INDEX(Data!$D:$D,2+(ROW()-5)*11+9)</f>
        <v>-3957.06</v>
      </c>
      <c r="AQ6" s="7">
        <f t="shared" ref="AQ6:AQ7" si="11">AQ5+SQRT((AR6-AR5)^2+(AS6-AS5)^2)</f>
        <v>2.9952796194814471</v>
      </c>
      <c r="AR6" s="7">
        <f>INDEX(Data!$B:$B,2+(ROW()-5)*11+10)</f>
        <v>1495586.87</v>
      </c>
      <c r="AS6" s="7">
        <f>INDEX(Data!$C:$C,2+(ROW()-5)*11+10)</f>
        <v>9782762.8200000003</v>
      </c>
      <c r="AT6" s="7">
        <f>INDEX(Data!$D:$D,2+(ROW()-5)*11+10)</f>
        <v>-3957.14</v>
      </c>
    </row>
    <row r="7" spans="1:46" x14ac:dyDescent="0.3">
      <c r="A7">
        <f>INDEX(Data!$A:$A,2+(ROW()-5)*11)</f>
        <v>23</v>
      </c>
      <c r="B7">
        <f t="shared" si="0"/>
        <v>3</v>
      </c>
      <c r="C7" s="7">
        <f t="shared" si="1"/>
        <v>6.0037509921813133</v>
      </c>
      <c r="D7" s="7">
        <f>INDEX(Data!$B:$B,2+(ROW()-5)*11+0)</f>
        <v>1495630.02</v>
      </c>
      <c r="E7" s="7">
        <f>INDEX(Data!$C:$C,2+(ROW()-5)*11+0)</f>
        <v>9782853.0800000001</v>
      </c>
      <c r="F7" s="7">
        <f>INDEX(Data!$D:$D,2+(ROW()-5)*11+0)</f>
        <v>-3956.15</v>
      </c>
      <c r="G7" s="7">
        <f t="shared" si="2"/>
        <v>6.0037633215414408</v>
      </c>
      <c r="H7" s="7">
        <f>INDEX(Data!$B:$B,2+(ROW()-5)*11+1)</f>
        <v>1495625.98</v>
      </c>
      <c r="I7" s="7">
        <f>INDEX(Data!$C:$C,2+(ROW()-5)*11+1)</f>
        <v>9782843.9299999997</v>
      </c>
      <c r="J7" s="7">
        <f>INDEX(Data!$D:$D,2+(ROW()-5)*11+1)</f>
        <v>-3956.27</v>
      </c>
      <c r="K7" s="7">
        <f t="shared" si="3"/>
        <v>5.9997096828054737</v>
      </c>
      <c r="L7" s="7">
        <f>INDEX(Data!$B:$B,2+(ROW()-5)*11+2)</f>
        <v>1495621.94</v>
      </c>
      <c r="M7" s="7">
        <f>INDEX(Data!$C:$C,2+(ROW()-5)*11+2)</f>
        <v>9782834.7899999991</v>
      </c>
      <c r="N7" s="7">
        <f>INDEX(Data!$D:$D,2+(ROW()-5)*11+2)</f>
        <v>-3956.35</v>
      </c>
      <c r="O7" s="7">
        <f t="shared" si="4"/>
        <v>5.9997096820530222</v>
      </c>
      <c r="P7" s="7">
        <f>INDEX(Data!$B:$B,2+(ROW()-5)*11+3)</f>
        <v>1495617.9</v>
      </c>
      <c r="Q7" s="7">
        <f>INDEX(Data!$C:$C,2+(ROW()-5)*11+3)</f>
        <v>9782825.6400000006</v>
      </c>
      <c r="R7" s="7">
        <f>INDEX(Data!$D:$D,2+(ROW()-5)*11+3)</f>
        <v>-3956.49</v>
      </c>
      <c r="S7" s="7">
        <f t="shared" si="5"/>
        <v>6.0037509921813133</v>
      </c>
      <c r="T7" s="7">
        <f>INDEX(Data!$B:$B,2+(ROW()-5)*11+4)</f>
        <v>1495613.86</v>
      </c>
      <c r="U7" s="7">
        <f>INDEX(Data!$C:$C,2+(ROW()-5)*11+4)</f>
        <v>9782816.4900000002</v>
      </c>
      <c r="V7" s="7">
        <f>INDEX(Data!$D:$D,2+(ROW()-5)*11+4)</f>
        <v>-3956.6</v>
      </c>
      <c r="W7" s="7">
        <f t="shared" si="6"/>
        <v>5.9997096820530222</v>
      </c>
      <c r="X7" s="7">
        <f>INDEX(Data!$B:$B,2+(ROW()-5)*11+5)</f>
        <v>1495609.82</v>
      </c>
      <c r="Y7" s="7">
        <f>INDEX(Data!$C:$C,2+(ROW()-5)*11+5)</f>
        <v>9782807.3499999996</v>
      </c>
      <c r="Z7" s="7">
        <f>INDEX(Data!$D:$D,2+(ROW()-5)*11+5)</f>
        <v>-3956.69</v>
      </c>
      <c r="AA7" s="7">
        <f t="shared" si="7"/>
        <v>5.9997096820530222</v>
      </c>
      <c r="AB7" s="7">
        <f>INDEX(Data!$B:$B,2+(ROW()-5)*11+6)</f>
        <v>1495605.78</v>
      </c>
      <c r="AC7" s="7">
        <f>INDEX(Data!$C:$C,2+(ROW()-5)*11+6)</f>
        <v>9782798.1999999993</v>
      </c>
      <c r="AD7" s="7">
        <f>INDEX(Data!$D:$D,2+(ROW()-5)*11+6)</f>
        <v>-3956.77</v>
      </c>
      <c r="AE7" s="7">
        <f t="shared" si="8"/>
        <v>6.0037633215414408</v>
      </c>
      <c r="AF7" s="7">
        <f>INDEX(Data!$B:$B,2+(ROW()-5)*11+7)</f>
        <v>1495601.74</v>
      </c>
      <c r="AG7" s="7">
        <f>INDEX(Data!$C:$C,2+(ROW()-5)*11+7)</f>
        <v>9782789.0500000007</v>
      </c>
      <c r="AH7" s="7">
        <f>INDEX(Data!$D:$D,2+(ROW()-5)*11+7)</f>
        <v>-3956.86</v>
      </c>
      <c r="AI7" s="7">
        <f t="shared" si="9"/>
        <v>6.0037509921784213</v>
      </c>
      <c r="AJ7" s="7">
        <f>INDEX(Data!$B:$B,2+(ROW()-5)*11+8)</f>
        <v>1495597.7</v>
      </c>
      <c r="AK7" s="7">
        <f>INDEX(Data!$C:$C,2+(ROW()-5)*11+8)</f>
        <v>9782779.9000000004</v>
      </c>
      <c r="AL7" s="7">
        <f>INDEX(Data!$D:$D,2+(ROW()-5)*11+8)</f>
        <v>-3956.96</v>
      </c>
      <c r="AM7" s="7">
        <f t="shared" si="10"/>
        <v>5.9905592392893716</v>
      </c>
      <c r="AN7" s="7">
        <f>INDEX(Data!$B:$B,2+(ROW()-5)*11+9)</f>
        <v>1495593.65</v>
      </c>
      <c r="AO7" s="7">
        <f>INDEX(Data!$C:$C,2+(ROW()-5)*11+9)</f>
        <v>9782770.7599999998</v>
      </c>
      <c r="AP7" s="7">
        <f>INDEX(Data!$D:$D,2+(ROW()-5)*11+9)</f>
        <v>-3957.07</v>
      </c>
      <c r="AQ7" s="7">
        <f t="shared" si="11"/>
        <v>5.9905592395023586</v>
      </c>
      <c r="AR7" s="7">
        <f>INDEX(Data!$B:$B,2+(ROW()-5)*11+10)</f>
        <v>1495589.61</v>
      </c>
      <c r="AS7" s="7">
        <f>INDEX(Data!$C:$C,2+(ROW()-5)*11+10)</f>
        <v>9782761.6099999994</v>
      </c>
      <c r="AT7" s="7">
        <f>INDEX(Data!$D:$D,2+(ROW()-5)*11+10)</f>
        <v>-3957.12</v>
      </c>
    </row>
    <row r="8" spans="1:46" x14ac:dyDescent="0.3">
      <c r="A8" t="s">
        <v>318</v>
      </c>
      <c r="B8" s="10">
        <v>100</v>
      </c>
      <c r="C8" s="67">
        <f>C7+100</f>
        <v>106.00375099218131</v>
      </c>
      <c r="D8" s="67">
        <f>D7+100*(D7-D6)/SQRT((D7-D6)^2+(E7-E6)^2)</f>
        <v>1495721.4972691792</v>
      </c>
      <c r="E8" s="67">
        <f>E7+100*(E7-E6)/SQRT((D7-D6)^2+(E7-E6)^2)</f>
        <v>9782812.6831037886</v>
      </c>
      <c r="F8" s="67">
        <f>F7</f>
        <v>-3956.15</v>
      </c>
      <c r="G8" s="67">
        <f>G7+100</f>
        <v>106.00376332154144</v>
      </c>
      <c r="H8" s="67">
        <f>H7+100*(H7-H6)/SQRT((H7-H6)^2+(I7-I6)^2)</f>
        <v>1495717.3336363891</v>
      </c>
      <c r="I8" s="67">
        <f>I7+100*(I7-I6)/SQRT((H7-H6)^2+(I7-I6)^2)</f>
        <v>9782803.254293263</v>
      </c>
      <c r="J8" s="67">
        <f>J7</f>
        <v>-3956.27</v>
      </c>
      <c r="K8" s="67">
        <f>K7+100</f>
        <v>105.99970968280547</v>
      </c>
      <c r="L8" s="67">
        <f>L7+100*(L7-L6)/SQRT((L7-L6)^2+(M7-M6)^2)</f>
        <v>1495713.4172691563</v>
      </c>
      <c r="M8" s="67">
        <f>M7+100*(M7-M6)/SQRT((L7-L6)^2+(M7-M6)^2)</f>
        <v>9782794.3931037355</v>
      </c>
      <c r="N8" s="67">
        <f>N7</f>
        <v>-3956.35</v>
      </c>
      <c r="O8" s="67">
        <f>O7+100</f>
        <v>105.99970968205302</v>
      </c>
      <c r="P8" s="67">
        <f>P7+100*(P7-P6)/SQRT((P7-P6)^2+(Q7-Q6)^2)</f>
        <v>1495709.3772691791</v>
      </c>
      <c r="Q8" s="67">
        <f>Q7+100*(Q7-Q6)/SQRT((P7-P6)^2+(Q7-Q6)^2)</f>
        <v>9782785.2431037892</v>
      </c>
      <c r="R8" s="67">
        <f>R7</f>
        <v>-3956.49</v>
      </c>
      <c r="S8" s="67">
        <f>S7+100</f>
        <v>106.00375099218131</v>
      </c>
      <c r="T8" s="67">
        <f>T7+100*(T7-T6)/SQRT((T7-T6)^2+(U7-U6)^2)</f>
        <v>1495705.3372691793</v>
      </c>
      <c r="U8" s="67">
        <f>U7+100*(U7-U6)/SQRT((T7-T6)^2+(U7-U6)^2)</f>
        <v>9782776.0931037888</v>
      </c>
      <c r="V8" s="67">
        <f>V7</f>
        <v>-3956.6</v>
      </c>
      <c r="W8" s="67">
        <f>W7+100</f>
        <v>105.99970968205302</v>
      </c>
      <c r="X8" s="67">
        <f>X7+100*(X7-X6)/SQRT((X7-X6)^2+(Y7-Y6)^2)</f>
        <v>1495701.3515032313</v>
      </c>
      <c r="Y8" s="67">
        <f>Y7+100*(Y7-Y6)/SQRT((X7-X6)^2+(Y7-Y6)^2)</f>
        <v>9782767.0761385486</v>
      </c>
      <c r="Z8" s="67">
        <f>Z7</f>
        <v>-3956.69</v>
      </c>
      <c r="AA8" s="67">
        <f>AA7+100</f>
        <v>105.99970968205302</v>
      </c>
      <c r="AB8" s="67">
        <f>AB7+100*(AB7-AB6)/SQRT((AB7-AB6)^2+(AC7-AC6)^2)</f>
        <v>1495697.3115032313</v>
      </c>
      <c r="AC8" s="67">
        <f>AC7+100*(AC7-AC6)/SQRT((AB7-AB6)^2+(AC7-AC6)^2)</f>
        <v>9782757.9261385482</v>
      </c>
      <c r="AD8" s="67">
        <f>AD7</f>
        <v>-3956.77</v>
      </c>
      <c r="AE8" s="67">
        <f>AE7+100</f>
        <v>106.00376332154144</v>
      </c>
      <c r="AF8" s="67">
        <f>AF7+100*(AF7-AF6)/SQRT((AF7-AF6)^2+(AG7-AG6)^2)</f>
        <v>1495693.2715032541</v>
      </c>
      <c r="AG8" s="67">
        <f>AG7+100*(AG7-AG6)/SQRT((AF7-AF6)^2+(AG7-AG6)^2)</f>
        <v>9782748.7761386018</v>
      </c>
      <c r="AH8" s="67">
        <f>AH7</f>
        <v>-3956.86</v>
      </c>
      <c r="AI8" s="67">
        <f>AI7+100</f>
        <v>106.00375099217842</v>
      </c>
      <c r="AJ8" s="67">
        <f>AJ7+100*(AJ7-AJ6)/SQRT((AJ7-AJ6)^2+(AK7-AK6)^2)</f>
        <v>1495689.108548057</v>
      </c>
      <c r="AK8" s="67">
        <f>AK7+100*(AK7-AK6)/SQRT((AJ7-AJ6)^2+(AK7-AK6)^2)</f>
        <v>9782739.3478441741</v>
      </c>
      <c r="AL8" s="67">
        <f>AL7</f>
        <v>-3956.96</v>
      </c>
      <c r="AM8" s="67">
        <f>AM7+100</f>
        <v>105.99055923928937</v>
      </c>
      <c r="AN8" s="67">
        <f>AN7+100*(AN7-AN6)/SQRT((AN7-AN6)^2+(AO7-AO6)^2)</f>
        <v>1495685.1272691563</v>
      </c>
      <c r="AO8" s="67">
        <f>AO7+100*(AO7-AO6)/SQRT((AN7-AN6)^2+(AO7-AO6)^2)</f>
        <v>9782730.3631037362</v>
      </c>
      <c r="AP8" s="67">
        <f>AP7</f>
        <v>-3957.07</v>
      </c>
      <c r="AQ8" s="67">
        <f>AQ7+100</f>
        <v>105.99055923950236</v>
      </c>
      <c r="AR8" s="67">
        <f>AR7+100*(AR7-AR6)/SQRT((AR7-AR6)^2+(AS7-AS6)^2)</f>
        <v>1495681.0872691565</v>
      </c>
      <c r="AS8" s="67">
        <f>AS7+100*(AS7-AS6)/SQRT((AR7-AR6)^2+(AS7-AS6)^2)</f>
        <v>9782721.2131037358</v>
      </c>
      <c r="AT8" s="67">
        <f>AT7</f>
        <v>-3957.12</v>
      </c>
    </row>
    <row r="9" spans="1:46" x14ac:dyDescent="0.3">
      <c r="B9" s="10"/>
    </row>
    <row r="10" spans="1:46" x14ac:dyDescent="0.3">
      <c r="B10" s="10"/>
    </row>
  </sheetData>
  <dataConsolidate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AC935-1AA7-4B24-AF34-A54EBCF2203F}">
  <sheetPr codeName="Sheet3"/>
  <dimension ref="A1:AT9"/>
  <sheetViews>
    <sheetView workbookViewId="0">
      <selection activeCell="A12" sqref="A12"/>
    </sheetView>
  </sheetViews>
  <sheetFormatPr defaultRowHeight="14.4" x14ac:dyDescent="0.3"/>
  <cols>
    <col min="2" max="3" width="12.21875" customWidth="1"/>
    <col min="4" max="4" width="10.6640625" bestFit="1" customWidth="1"/>
    <col min="5" max="5" width="11.5546875" bestFit="1" customWidth="1"/>
    <col min="6" max="6" width="9.21875" bestFit="1" customWidth="1"/>
    <col min="7" max="7" width="9" bestFit="1" customWidth="1"/>
    <col min="8" max="8" width="10.6640625" bestFit="1" customWidth="1"/>
    <col min="9" max="9" width="11.5546875" bestFit="1" customWidth="1"/>
    <col min="10" max="10" width="9.21875" bestFit="1" customWidth="1"/>
    <col min="11" max="11" width="9" bestFit="1" customWidth="1"/>
    <col min="12" max="12" width="10.6640625" bestFit="1" customWidth="1"/>
    <col min="13" max="13" width="11.5546875" bestFit="1" customWidth="1"/>
    <col min="14" max="14" width="9.21875" bestFit="1" customWidth="1"/>
    <col min="15" max="15" width="9" bestFit="1" customWidth="1"/>
    <col min="16" max="16" width="10.6640625" bestFit="1" customWidth="1"/>
    <col min="17" max="17" width="11.5546875" bestFit="1" customWidth="1"/>
    <col min="18" max="18" width="9.21875" bestFit="1" customWidth="1"/>
    <col min="19" max="19" width="9" bestFit="1" customWidth="1"/>
    <col min="20" max="20" width="10.6640625" bestFit="1" customWidth="1"/>
    <col min="21" max="21" width="11.5546875" bestFit="1" customWidth="1"/>
    <col min="22" max="22" width="9.21875" bestFit="1" customWidth="1"/>
    <col min="23" max="23" width="9" bestFit="1" customWidth="1"/>
    <col min="24" max="24" width="10.6640625" bestFit="1" customWidth="1"/>
    <col min="25" max="25" width="11.5546875" bestFit="1" customWidth="1"/>
    <col min="26" max="26" width="9.21875" bestFit="1" customWidth="1"/>
    <col min="27" max="27" width="9" bestFit="1" customWidth="1"/>
    <col min="28" max="28" width="10.6640625" bestFit="1" customWidth="1"/>
    <col min="29" max="29" width="11.5546875" bestFit="1" customWidth="1"/>
    <col min="30" max="30" width="9.21875" bestFit="1" customWidth="1"/>
    <col min="31" max="31" width="9" bestFit="1" customWidth="1"/>
    <col min="32" max="32" width="10.6640625" bestFit="1" customWidth="1"/>
    <col min="33" max="33" width="11.5546875" bestFit="1" customWidth="1"/>
    <col min="34" max="34" width="9.21875" bestFit="1" customWidth="1"/>
    <col min="35" max="35" width="9" bestFit="1" customWidth="1"/>
    <col min="36" max="36" width="10.6640625" bestFit="1" customWidth="1"/>
    <col min="37" max="37" width="11.5546875" bestFit="1" customWidth="1"/>
    <col min="38" max="38" width="9.21875" bestFit="1" customWidth="1"/>
    <col min="39" max="39" width="9" bestFit="1" customWidth="1"/>
    <col min="40" max="40" width="10.6640625" bestFit="1" customWidth="1"/>
    <col min="41" max="41" width="11.5546875" bestFit="1" customWidth="1"/>
    <col min="42" max="42" width="9.21875" bestFit="1" customWidth="1"/>
    <col min="43" max="43" width="9" bestFit="1" customWidth="1"/>
    <col min="44" max="44" width="10.6640625" bestFit="1" customWidth="1"/>
    <col min="45" max="45" width="11.5546875" bestFit="1" customWidth="1"/>
    <col min="46" max="46" width="9.21875" bestFit="1" customWidth="1"/>
  </cols>
  <sheetData>
    <row r="1" spans="1:46" x14ac:dyDescent="0.3">
      <c r="A1" s="10"/>
      <c r="B1" s="10"/>
      <c r="D1" t="s">
        <v>5</v>
      </c>
      <c r="F1">
        <f>SQRT((D4-(X4))^2+(E4-(Y4))^2)</f>
        <v>15.240571793754567</v>
      </c>
      <c r="H1" t="s">
        <v>6</v>
      </c>
      <c r="J1">
        <f>SQRT((H4-(X4))^2+(I4-(Y4))^2)</f>
        <v>12.191899796498333</v>
      </c>
      <c r="L1" t="s">
        <v>7</v>
      </c>
      <c r="N1">
        <f>SQRT((L4-(X4))^2+(M4-(Y4))^2)</f>
        <v>9.1432278075574409</v>
      </c>
      <c r="P1" t="s">
        <v>8</v>
      </c>
      <c r="R1">
        <f>SQRT((P4-(X4))^2+(Q4-(Y4))^2)</f>
        <v>6.0945558389023287</v>
      </c>
      <c r="T1" t="s">
        <v>9</v>
      </c>
      <c r="V1">
        <f>SQRT((T4-(X4))^2+(U4-(Y4))^2)</f>
        <v>3.0486720096666633</v>
      </c>
      <c r="X1" t="s">
        <v>10</v>
      </c>
      <c r="Z1">
        <f>SQRT((X4-(X4))^2+(Y4-(Y4))^2)</f>
        <v>0</v>
      </c>
      <c r="AB1" t="s">
        <v>11</v>
      </c>
      <c r="AD1">
        <f>SQRT((AB4-(X4))^2+(AC4-(Y4))^2)</f>
        <v>3.0486720101161602</v>
      </c>
      <c r="AF1" t="s">
        <v>12</v>
      </c>
      <c r="AH1">
        <f>SQRT((AF4-(X4))^2+(AG4-(Y4))^2)</f>
        <v>6.094555838949371</v>
      </c>
      <c r="AJ1" t="s">
        <v>13</v>
      </c>
      <c r="AL1">
        <f>SQRT((AJ4-(X4))^2+(AK4-(Y4))^2)</f>
        <v>9.1432278075809581</v>
      </c>
      <c r="AN1" t="s">
        <v>14</v>
      </c>
      <c r="AP1">
        <f>SQRT((AN4-(X4))^2+(AO4-(Y4))^2)</f>
        <v>12.191899796545366</v>
      </c>
      <c r="AR1" t="s">
        <v>15</v>
      </c>
      <c r="AT1">
        <f>SQRT((AR4-(X4))^2+(AS4-(Y4))^2)</f>
        <v>15.240571794204053</v>
      </c>
    </row>
    <row r="2" spans="1:46" x14ac:dyDescent="0.3">
      <c r="C2" t="s">
        <v>44</v>
      </c>
      <c r="D2" t="s">
        <v>0</v>
      </c>
      <c r="E2" t="s">
        <v>1</v>
      </c>
      <c r="F2" t="s">
        <v>2</v>
      </c>
      <c r="G2" t="s">
        <v>44</v>
      </c>
      <c r="H2" t="s">
        <v>0</v>
      </c>
      <c r="I2" t="s">
        <v>1</v>
      </c>
      <c r="J2" t="s">
        <v>2</v>
      </c>
      <c r="K2" t="s">
        <v>44</v>
      </c>
      <c r="L2" t="s">
        <v>0</v>
      </c>
      <c r="M2" t="s">
        <v>1</v>
      </c>
      <c r="N2" t="s">
        <v>2</v>
      </c>
      <c r="O2" t="s">
        <v>44</v>
      </c>
      <c r="P2" t="s">
        <v>0</v>
      </c>
      <c r="Q2" t="s">
        <v>1</v>
      </c>
      <c r="R2" t="s">
        <v>2</v>
      </c>
      <c r="S2" t="s">
        <v>44</v>
      </c>
      <c r="T2" t="s">
        <v>0</v>
      </c>
      <c r="U2" t="s">
        <v>1</v>
      </c>
      <c r="V2" t="s">
        <v>2</v>
      </c>
      <c r="W2" t="s">
        <v>44</v>
      </c>
      <c r="X2" t="s">
        <v>0</v>
      </c>
      <c r="Y2" t="s">
        <v>1</v>
      </c>
      <c r="Z2" t="s">
        <v>2</v>
      </c>
      <c r="AA2" t="s">
        <v>44</v>
      </c>
      <c r="AB2" t="s">
        <v>0</v>
      </c>
      <c r="AC2" t="s">
        <v>1</v>
      </c>
      <c r="AD2" t="s">
        <v>2</v>
      </c>
      <c r="AE2" t="s">
        <v>44</v>
      </c>
      <c r="AF2" t="s">
        <v>0</v>
      </c>
      <c r="AG2" t="s">
        <v>1</v>
      </c>
      <c r="AH2" t="s">
        <v>2</v>
      </c>
      <c r="AI2" t="s">
        <v>44</v>
      </c>
      <c r="AJ2" t="s">
        <v>0</v>
      </c>
      <c r="AK2" t="s">
        <v>1</v>
      </c>
      <c r="AL2" t="s">
        <v>2</v>
      </c>
      <c r="AM2" t="s">
        <v>44</v>
      </c>
      <c r="AN2" t="s">
        <v>0</v>
      </c>
      <c r="AO2" t="s">
        <v>1</v>
      </c>
      <c r="AP2" t="s">
        <v>2</v>
      </c>
      <c r="AQ2" t="s">
        <v>44</v>
      </c>
      <c r="AR2" t="s">
        <v>0</v>
      </c>
      <c r="AS2" t="s">
        <v>1</v>
      </c>
      <c r="AT2" t="s">
        <v>2</v>
      </c>
    </row>
    <row r="3" spans="1:46" x14ac:dyDescent="0.3">
      <c r="C3" s="7">
        <f>Seabed_3ft!C4*0.3048</f>
        <v>-30.48</v>
      </c>
      <c r="D3" s="7">
        <f>Seabed_3ft!D4*0.3048</f>
        <v>455838.49541855924</v>
      </c>
      <c r="E3" s="7">
        <f>Seabed_3ft!E4*0.3048</f>
        <v>2981826.7197451112</v>
      </c>
      <c r="F3" s="7">
        <f>Seabed_3ft!F4*0.3048</f>
        <v>-1205.8375679999999</v>
      </c>
      <c r="G3" s="7">
        <f>Seabed_3ft!G4*0.3048</f>
        <v>-30.48</v>
      </c>
      <c r="H3" s="7">
        <f>Seabed_3ft!H4*0.3048</f>
        <v>455837.22654980817</v>
      </c>
      <c r="I3" s="7">
        <f>Seabed_3ft!I4*0.3048</f>
        <v>2981823.8460009545</v>
      </c>
      <c r="J3" s="7">
        <f>Seabed_3ft!J4*0.3048</f>
        <v>-1205.8802400000002</v>
      </c>
      <c r="K3" s="7">
        <f>Seabed_3ft!K4*0.3048</f>
        <v>-30.48</v>
      </c>
      <c r="L3" s="7">
        <f>Seabed_3ft!L4*0.3048</f>
        <v>455835.99515781511</v>
      </c>
      <c r="M3" s="7">
        <f>Seabed_3ft!M4*0.3048</f>
        <v>2981821.0570809706</v>
      </c>
      <c r="N3" s="7">
        <f>Seabed_3ft!N4*0.3048</f>
        <v>-1205.901576</v>
      </c>
      <c r="O3" s="7">
        <f>Seabed_3ft!O4*0.3048</f>
        <v>-30.48</v>
      </c>
      <c r="P3" s="7">
        <f>Seabed_3ft!P4*0.3048</f>
        <v>455834.76376581512</v>
      </c>
      <c r="Q3" s="7">
        <f>Seabed_3ft!Q4*0.3048</f>
        <v>2981818.2681609704</v>
      </c>
      <c r="R3" s="7">
        <f>Seabed_3ft!R4*0.3048</f>
        <v>-1205.9351040000001</v>
      </c>
      <c r="S3" s="7">
        <f>Seabed_3ft!S4*0.3048</f>
        <v>-30.48</v>
      </c>
      <c r="T3" s="7">
        <f>Seabed_3ft!T4*0.3048</f>
        <v>455833.56985055929</v>
      </c>
      <c r="U3" s="7">
        <f>Seabed_3ft!U4*0.3048</f>
        <v>2981815.5671131113</v>
      </c>
      <c r="V3" s="7">
        <f>Seabed_3ft!V4*0.3048</f>
        <v>-1205.9777759999999</v>
      </c>
      <c r="W3" s="67">
        <f>Seabed_3ft!W4*0.3048</f>
        <v>-30.48</v>
      </c>
      <c r="X3" s="7">
        <f>Seabed_3ft!X4*0.3048</f>
        <v>455832.31751235423</v>
      </c>
      <c r="Y3" s="7">
        <f>Seabed_3ft!Y4*0.3048</f>
        <v>2981812.7308699652</v>
      </c>
      <c r="Z3" s="7">
        <f>Seabed_3ft!Z4*0.3048</f>
        <v>-1205.9960639999999</v>
      </c>
      <c r="AA3" s="7">
        <f>Seabed_3ft!AA4*0.3048</f>
        <v>-30.48</v>
      </c>
      <c r="AB3" s="7">
        <f>Seabed_3ft!AB4*0.3048</f>
        <v>455831.08612035424</v>
      </c>
      <c r="AC3" s="7">
        <f>Seabed_3ft!AC4*0.3048</f>
        <v>2981809.941949965</v>
      </c>
      <c r="AD3" s="7">
        <f>Seabed_3ft!AD4*0.3048</f>
        <v>-1206.023496</v>
      </c>
      <c r="AE3" s="7">
        <f>Seabed_3ft!AE4*0.3048</f>
        <v>-30.48</v>
      </c>
      <c r="AF3" s="7">
        <f>Seabed_3ft!AF4*0.3048</f>
        <v>455829.89241162862</v>
      </c>
      <c r="AG3" s="7">
        <f>Seabed_3ft!AG4*0.3048</f>
        <v>2981807.2410594136</v>
      </c>
      <c r="AH3" s="7">
        <f>Seabed_3ft!AH4*0.3048</f>
        <v>-1206.0509280000001</v>
      </c>
      <c r="AI3" s="7">
        <f>Seabed_3ft!AI4*0.3048</f>
        <v>-30.48</v>
      </c>
      <c r="AJ3" s="7">
        <f>Seabed_3ft!AJ4*0.3048</f>
        <v>455828.62333636114</v>
      </c>
      <c r="AK3" s="7">
        <f>Seabed_3ft!AK4*0.3048</f>
        <v>2981804.3671579813</v>
      </c>
      <c r="AL3" s="7">
        <f>Seabed_3ft!AL4*0.3048</f>
        <v>-1206.081408</v>
      </c>
      <c r="AM3" s="7">
        <f>Seabed_3ft!AM4*0.3048</f>
        <v>-30.48</v>
      </c>
      <c r="AN3" s="7">
        <f>Seabed_3ft!AN4*0.3048</f>
        <v>455827.39194435417</v>
      </c>
      <c r="AO3" s="7">
        <f>Seabed_3ft!AO4*0.3048</f>
        <v>2981801.5782379652</v>
      </c>
      <c r="AP3" s="7">
        <f>Seabed_3ft!AP4*0.3048</f>
        <v>-1206.1149360000002</v>
      </c>
      <c r="AQ3" s="7">
        <f>Seabed_3ft!AQ4*0.3048</f>
        <v>-30.48</v>
      </c>
      <c r="AR3" s="7">
        <f>Seabed_3ft!AR4*0.3048</f>
        <v>455826.16055235377</v>
      </c>
      <c r="AS3" s="7">
        <f>Seabed_3ft!AS4*0.3048</f>
        <v>2981798.7893179641</v>
      </c>
      <c r="AT3" s="7">
        <f>Seabed_3ft!AT4*0.3048</f>
        <v>-1206.13932</v>
      </c>
    </row>
    <row r="4" spans="1:46" x14ac:dyDescent="0.3">
      <c r="C4" s="7">
        <f>Seabed_3ft!C5*0.3048</f>
        <v>0</v>
      </c>
      <c r="D4" s="7">
        <f>Seabed_3ft!D5*0.3048</f>
        <v>455866.35674400005</v>
      </c>
      <c r="E4" s="7">
        <f>Seabed_3ft!E5*0.3048</f>
        <v>2981814.3594479999</v>
      </c>
      <c r="F4" s="7">
        <f>Seabed_3ft!F5*0.3048</f>
        <v>-1205.8375679999999</v>
      </c>
      <c r="G4" s="7">
        <f>Seabed_3ft!G5*0.3048</f>
        <v>0</v>
      </c>
      <c r="H4" s="7">
        <f>Seabed_3ft!H5*0.3048</f>
        <v>455865.125352</v>
      </c>
      <c r="I4" s="7">
        <f>Seabed_3ft!I5*0.3048</f>
        <v>2981811.5705280001</v>
      </c>
      <c r="J4" s="7">
        <f>Seabed_3ft!J5*0.3048</f>
        <v>-1205.8802400000002</v>
      </c>
      <c r="K4" s="7">
        <f>Seabed_3ft!K5*0.3048</f>
        <v>0</v>
      </c>
      <c r="L4" s="7">
        <f>Seabed_3ft!L5*0.3048</f>
        <v>455863.89396000002</v>
      </c>
      <c r="M4" s="7">
        <f>Seabed_3ft!M5*0.3048</f>
        <v>2981808.7816080004</v>
      </c>
      <c r="N4" s="7">
        <f>Seabed_3ft!N5*0.3048</f>
        <v>-1205.901576</v>
      </c>
      <c r="O4" s="7">
        <f>Seabed_3ft!O5*0.3048</f>
        <v>0</v>
      </c>
      <c r="P4" s="7">
        <f>Seabed_3ft!P5*0.3048</f>
        <v>455862.66256799997</v>
      </c>
      <c r="Q4" s="7">
        <f>Seabed_3ft!Q5*0.3048</f>
        <v>2981805.9926880002</v>
      </c>
      <c r="R4" s="7">
        <f>Seabed_3ft!R5*0.3048</f>
        <v>-1205.9351040000001</v>
      </c>
      <c r="S4" s="7">
        <f>Seabed_3ft!S5*0.3048</f>
        <v>0</v>
      </c>
      <c r="T4" s="7">
        <f>Seabed_3ft!T5*0.3048</f>
        <v>455861.43117600004</v>
      </c>
      <c r="U4" s="7">
        <f>Seabed_3ft!U5*0.3048</f>
        <v>2981803.2068159999</v>
      </c>
      <c r="V4" s="7">
        <f>Seabed_3ft!V5*0.3048</f>
        <v>-1205.9777759999999</v>
      </c>
      <c r="W4" s="67">
        <f>Seabed_3ft!W5*0.3048</f>
        <v>0</v>
      </c>
      <c r="X4" s="7">
        <f>Seabed_3ft!X5*0.3048</f>
        <v>455860.19978400005</v>
      </c>
      <c r="Y4" s="7">
        <f>Seabed_3ft!Y5*0.3048</f>
        <v>2981800.4178960002</v>
      </c>
      <c r="Z4" s="7">
        <f>Seabed_3ft!Z5*0.3048</f>
        <v>-1205.9960639999999</v>
      </c>
      <c r="AA4" s="7">
        <f>Seabed_3ft!AA5*0.3048</f>
        <v>0</v>
      </c>
      <c r="AB4" s="7">
        <f>Seabed_3ft!AB5*0.3048</f>
        <v>455858.96839200001</v>
      </c>
      <c r="AC4" s="7">
        <f>Seabed_3ft!AC5*0.3048</f>
        <v>2981797.628976</v>
      </c>
      <c r="AD4" s="7">
        <f>Seabed_3ft!AD5*0.3048</f>
        <v>-1206.023496</v>
      </c>
      <c r="AE4" s="7">
        <f>Seabed_3ft!AE5*0.3048</f>
        <v>0</v>
      </c>
      <c r="AF4" s="7">
        <f>Seabed_3ft!AF5*0.3048</f>
        <v>455857.73700000002</v>
      </c>
      <c r="AG4" s="7">
        <f>Seabed_3ft!AG5*0.3048</f>
        <v>2981794.8431040002</v>
      </c>
      <c r="AH4" s="7">
        <f>Seabed_3ft!AH5*0.3048</f>
        <v>-1206.0509280000001</v>
      </c>
      <c r="AI4" s="7">
        <f>Seabed_3ft!AI5*0.3048</f>
        <v>0</v>
      </c>
      <c r="AJ4" s="7">
        <f>Seabed_3ft!AJ5*0.3048</f>
        <v>455856.50560800004</v>
      </c>
      <c r="AK4" s="7">
        <f>Seabed_3ft!AK5*0.3048</f>
        <v>2981792.054184</v>
      </c>
      <c r="AL4" s="7">
        <f>Seabed_3ft!AL5*0.3048</f>
        <v>-1206.081408</v>
      </c>
      <c r="AM4" s="7">
        <f>Seabed_3ft!AM5*0.3048</f>
        <v>0</v>
      </c>
      <c r="AN4" s="7">
        <f>Seabed_3ft!AN5*0.3048</f>
        <v>455855.27421599999</v>
      </c>
      <c r="AO4" s="7">
        <f>Seabed_3ft!AO5*0.3048</f>
        <v>2981789.2652640003</v>
      </c>
      <c r="AP4" s="7">
        <f>Seabed_3ft!AP5*0.3048</f>
        <v>-1206.1149360000002</v>
      </c>
      <c r="AQ4" s="7">
        <f>Seabed_3ft!AQ5*0.3048</f>
        <v>0</v>
      </c>
      <c r="AR4" s="7">
        <f>Seabed_3ft!AR5*0.3048</f>
        <v>455854.042824</v>
      </c>
      <c r="AS4" s="7">
        <f>Seabed_3ft!AS5*0.3048</f>
        <v>2981786.4763440001</v>
      </c>
      <c r="AT4" s="7">
        <f>Seabed_3ft!AT5*0.3048</f>
        <v>-1206.13932</v>
      </c>
    </row>
    <row r="5" spans="1:46" x14ac:dyDescent="0.3">
      <c r="C5" s="7">
        <f>Seabed_3ft!C6*0.3048</f>
        <v>0.91698207446383773</v>
      </c>
      <c r="D5" s="7">
        <f>Seabed_3ft!D6*0.3048</f>
        <v>455867.19494400005</v>
      </c>
      <c r="E5" s="7">
        <f>Seabed_3ft!E6*0.3048</f>
        <v>2981813.987592</v>
      </c>
      <c r="F5" s="7">
        <f>Seabed_3ft!F6*0.3048</f>
        <v>-1205.8375679999999</v>
      </c>
      <c r="G5" s="7">
        <f>Seabed_3ft!G6*0.3048</f>
        <v>0.91575028290808613</v>
      </c>
      <c r="H5" s="7">
        <f>Seabed_3ft!H6*0.3048</f>
        <v>455865.963552</v>
      </c>
      <c r="I5" s="7">
        <f>Seabed_3ft!I6*0.3048</f>
        <v>2981811.2017200002</v>
      </c>
      <c r="J5" s="7">
        <f>Seabed_3ft!J6*0.3048</f>
        <v>-1205.8741440000001</v>
      </c>
      <c r="K5" s="7">
        <f>Seabed_3ft!K6*0.3048</f>
        <v>0.91575028313673457</v>
      </c>
      <c r="L5" s="7">
        <f>Seabed_3ft!L6*0.3048</f>
        <v>455864.73216000001</v>
      </c>
      <c r="M5" s="7">
        <f>Seabed_3ft!M6*0.3048</f>
        <v>2981808.4128</v>
      </c>
      <c r="N5" s="7">
        <f>Seabed_3ft!N6*0.3048</f>
        <v>-1205.8985280000002</v>
      </c>
      <c r="O5" s="7">
        <f>Seabed_3ft!O6*0.3048</f>
        <v>0.91575028313673457</v>
      </c>
      <c r="P5" s="7">
        <f>Seabed_3ft!P6*0.3048</f>
        <v>455863.50076799997</v>
      </c>
      <c r="Q5" s="7">
        <f>Seabed_3ft!Q6*0.3048</f>
        <v>2981805.6238799999</v>
      </c>
      <c r="R5" s="7">
        <f>Seabed_3ft!R6*0.3048</f>
        <v>-1205.9351040000001</v>
      </c>
      <c r="S5" s="7">
        <f>Seabed_3ft!S6*0.3048</f>
        <v>0.91698207446383773</v>
      </c>
      <c r="T5" s="7">
        <f>Seabed_3ft!T6*0.3048</f>
        <v>455862.26937600004</v>
      </c>
      <c r="U5" s="7">
        <f>Seabed_3ft!U6*0.3048</f>
        <v>2981802.8349600001</v>
      </c>
      <c r="V5" s="7">
        <f>Seabed_3ft!V6*0.3048</f>
        <v>-1205.9716800000001</v>
      </c>
      <c r="W5" s="67">
        <f>Seabed_3ft!W6*0.3048</f>
        <v>0.9129612279530267</v>
      </c>
      <c r="X5" s="7">
        <f>Seabed_3ft!X6*0.3048</f>
        <v>455861.03493600007</v>
      </c>
      <c r="Y5" s="7">
        <f>Seabed_3ft!Y6*0.3048</f>
        <v>2981800.0490880003</v>
      </c>
      <c r="Z5" s="7">
        <f>Seabed_3ft!Z6*0.3048</f>
        <v>-1205.9960639999999</v>
      </c>
      <c r="AA5" s="7">
        <f>Seabed_3ft!AA6*0.3048</f>
        <v>0.9129612279530267</v>
      </c>
      <c r="AB5" s="7">
        <f>Seabed_3ft!AB6*0.3048</f>
        <v>455859.80354400002</v>
      </c>
      <c r="AC5" s="7">
        <f>Seabed_3ft!AC6*0.3048</f>
        <v>2981797.2601680001</v>
      </c>
      <c r="AD5" s="7">
        <f>Seabed_3ft!AD6*0.3048</f>
        <v>-1206.0204480000002</v>
      </c>
      <c r="AE5" s="7">
        <f>Seabed_3ft!AE6*0.3048</f>
        <v>0.91419677749774508</v>
      </c>
      <c r="AF5" s="7">
        <f>Seabed_3ft!AF6*0.3048</f>
        <v>455858.57215200004</v>
      </c>
      <c r="AG5" s="7">
        <f>Seabed_3ft!AG6*0.3048</f>
        <v>2981794.4712479999</v>
      </c>
      <c r="AH5" s="7">
        <f>Seabed_3ft!AH6*0.3048</f>
        <v>-1206.0509280000001</v>
      </c>
      <c r="AI5" s="7">
        <f>Seabed_3ft!AI6*0.3048</f>
        <v>0.9129612281823738</v>
      </c>
      <c r="AJ5" s="7">
        <f>Seabed_3ft!AJ6*0.3048</f>
        <v>455857.34075999999</v>
      </c>
      <c r="AK5" s="7">
        <f>Seabed_3ft!AK6*0.3048</f>
        <v>2981791.6853760001</v>
      </c>
      <c r="AL5" s="7">
        <f>Seabed_3ft!AL6*0.3048</f>
        <v>-1206.07836</v>
      </c>
      <c r="AM5" s="7">
        <f>Seabed_3ft!AM6*0.3048</f>
        <v>0.9129612279530267</v>
      </c>
      <c r="AN5" s="7">
        <f>Seabed_3ft!AN6*0.3048</f>
        <v>455856.109368</v>
      </c>
      <c r="AO5" s="7">
        <f>Seabed_3ft!AO6*0.3048</f>
        <v>2981788.8964560004</v>
      </c>
      <c r="AP5" s="7">
        <f>Seabed_3ft!AP6*0.3048</f>
        <v>-1206.1118880000001</v>
      </c>
      <c r="AQ5" s="7">
        <f>Seabed_3ft!AQ6*0.3048</f>
        <v>0.9129612280179451</v>
      </c>
      <c r="AR5" s="7">
        <f>Seabed_3ft!AR6*0.3048</f>
        <v>455854.87797600008</v>
      </c>
      <c r="AS5" s="7">
        <f>Seabed_3ft!AS6*0.3048</f>
        <v>2981786.1075360002</v>
      </c>
      <c r="AT5" s="7">
        <f>Seabed_3ft!AT6*0.3048</f>
        <v>-1206.136272</v>
      </c>
    </row>
    <row r="6" spans="1:46" x14ac:dyDescent="0.3">
      <c r="C6" s="7">
        <f>Seabed_3ft!C7*0.3048</f>
        <v>1.8299433024168643</v>
      </c>
      <c r="D6" s="7">
        <f>Seabed_3ft!D7*0.3048</f>
        <v>455868.030096</v>
      </c>
      <c r="E6" s="7">
        <f>Seabed_3ft!E7*0.3048</f>
        <v>2981813.6187840002</v>
      </c>
      <c r="F6" s="7">
        <f>Seabed_3ft!F7*0.3048</f>
        <v>-1205.8345200000001</v>
      </c>
      <c r="G6" s="7">
        <f>Seabed_3ft!G7*0.3048</f>
        <v>1.8299470604058312</v>
      </c>
      <c r="H6" s="7">
        <f>Seabed_3ft!H7*0.3048</f>
        <v>455866.79870400002</v>
      </c>
      <c r="I6" s="7">
        <f>Seabed_3ft!I7*0.3048</f>
        <v>2981810.829864</v>
      </c>
      <c r="J6" s="7">
        <f>Seabed_3ft!J7*0.3048</f>
        <v>-1205.8710960000001</v>
      </c>
      <c r="K6" s="7">
        <f>Seabed_3ft!K7*0.3048</f>
        <v>1.8287115113191084</v>
      </c>
      <c r="L6" s="7">
        <f>Seabed_3ft!L7*0.3048</f>
        <v>455865.56731200003</v>
      </c>
      <c r="M6" s="7">
        <f>Seabed_3ft!M7*0.3048</f>
        <v>2981808.0439919997</v>
      </c>
      <c r="N6" s="7">
        <f>Seabed_3ft!N7*0.3048</f>
        <v>-1205.8954800000001</v>
      </c>
      <c r="O6" s="7">
        <f>Seabed_3ft!O7*0.3048</f>
        <v>1.8287115110897614</v>
      </c>
      <c r="P6" s="7">
        <f>Seabed_3ft!P7*0.3048</f>
        <v>455864.33591999998</v>
      </c>
      <c r="Q6" s="7">
        <f>Seabed_3ft!Q7*0.3048</f>
        <v>2981805.2550720004</v>
      </c>
      <c r="R6" s="7">
        <f>Seabed_3ft!R7*0.3048</f>
        <v>-1205.9381519999999</v>
      </c>
      <c r="S6" s="7">
        <f>Seabed_3ft!S7*0.3048</f>
        <v>1.8299433024168643</v>
      </c>
      <c r="T6" s="7">
        <f>Seabed_3ft!T7*0.3048</f>
        <v>455863.10452800005</v>
      </c>
      <c r="U6" s="7">
        <f>Seabed_3ft!U7*0.3048</f>
        <v>2981802.4661520002</v>
      </c>
      <c r="V6" s="7">
        <f>Seabed_3ft!V7*0.3048</f>
        <v>-1205.9716800000001</v>
      </c>
      <c r="W6" s="67">
        <f>Seabed_3ft!W7*0.3048</f>
        <v>1.8287115110897614</v>
      </c>
      <c r="X6" s="7">
        <f>Seabed_3ft!X7*0.3048</f>
        <v>455861.87313600007</v>
      </c>
      <c r="Y6" s="7">
        <f>Seabed_3ft!Y7*0.3048</f>
        <v>2981799.68028</v>
      </c>
      <c r="Z6" s="7">
        <f>Seabed_3ft!Z7*0.3048</f>
        <v>-1205.999112</v>
      </c>
      <c r="AA6" s="7">
        <f>Seabed_3ft!AA7*0.3048</f>
        <v>1.8287115110897614</v>
      </c>
      <c r="AB6" s="7">
        <f>Seabed_3ft!AB7*0.3048</f>
        <v>455860.64174400002</v>
      </c>
      <c r="AC6" s="7">
        <f>Seabed_3ft!AC7*0.3048</f>
        <v>2981796.8913599998</v>
      </c>
      <c r="AD6" s="7">
        <f>Seabed_3ft!AD7*0.3048</f>
        <v>-1206.023496</v>
      </c>
      <c r="AE6" s="7">
        <f>Seabed_3ft!AE7*0.3048</f>
        <v>1.8299470604058312</v>
      </c>
      <c r="AF6" s="7">
        <f>Seabed_3ft!AF7*0.3048</f>
        <v>455859.41035200004</v>
      </c>
      <c r="AG6" s="7">
        <f>Seabed_3ft!AG7*0.3048</f>
        <v>2981794.1024400005</v>
      </c>
      <c r="AH6" s="7">
        <f>Seabed_3ft!AH7*0.3048</f>
        <v>-1206.0509280000001</v>
      </c>
      <c r="AI6" s="7">
        <f>Seabed_3ft!AI7*0.3048</f>
        <v>1.829943302415983</v>
      </c>
      <c r="AJ6" s="7">
        <f>Seabed_3ft!AJ7*0.3048</f>
        <v>455858.17895999999</v>
      </c>
      <c r="AK6" s="7">
        <f>Seabed_3ft!AK7*0.3048</f>
        <v>2981791.3135200003</v>
      </c>
      <c r="AL6" s="7">
        <f>Seabed_3ft!AL7*0.3048</f>
        <v>-1206.081408</v>
      </c>
      <c r="AM6" s="7">
        <f>Seabed_3ft!AM7*0.3048</f>
        <v>1.8259224561354006</v>
      </c>
      <c r="AN6" s="7">
        <f>Seabed_3ft!AN7*0.3048</f>
        <v>455856.94452000002</v>
      </c>
      <c r="AO6" s="7">
        <f>Seabed_3ft!AO7*0.3048</f>
        <v>2981788.527648</v>
      </c>
      <c r="AP6" s="7">
        <f>Seabed_3ft!AP7*0.3048</f>
        <v>-1206.1149360000002</v>
      </c>
      <c r="AQ6" s="7">
        <f>Seabed_3ft!AQ7*0.3048</f>
        <v>1.8259224562003189</v>
      </c>
      <c r="AR6" s="7">
        <f>Seabed_3ft!AR7*0.3048</f>
        <v>455855.71312800003</v>
      </c>
      <c r="AS6" s="7">
        <f>Seabed_3ft!AS7*0.3048</f>
        <v>2981785.7387279999</v>
      </c>
      <c r="AT6" s="7">
        <f>Seabed_3ft!AT7*0.3048</f>
        <v>-1206.1301760000001</v>
      </c>
    </row>
    <row r="7" spans="1:46" x14ac:dyDescent="0.3">
      <c r="C7" s="7">
        <f>Seabed_3ft!C8*0.3048</f>
        <v>32.309943302416862</v>
      </c>
      <c r="D7" s="7">
        <f>Seabed_3ft!D8*0.3048</f>
        <v>455895.91236764583</v>
      </c>
      <c r="E7" s="7">
        <f>Seabed_3ft!E8*0.3048</f>
        <v>2981801.3058100347</v>
      </c>
      <c r="F7" s="7">
        <f>Seabed_3ft!F8*0.3048</f>
        <v>-1205.8345200000001</v>
      </c>
      <c r="G7" s="7">
        <f>Seabed_3ft!G8*0.3048</f>
        <v>32.309947060405833</v>
      </c>
      <c r="H7" s="7">
        <f>Seabed_3ft!H8*0.3048</f>
        <v>455894.64329237142</v>
      </c>
      <c r="I7" s="7">
        <f>Seabed_3ft!I8*0.3048</f>
        <v>2981798.4319085865</v>
      </c>
      <c r="J7" s="7">
        <f>Seabed_3ft!J8*0.3048</f>
        <v>-1205.8710960000001</v>
      </c>
      <c r="K7" s="7">
        <f>Seabed_3ft!K8*0.3048</f>
        <v>32.30871151131911</v>
      </c>
      <c r="L7" s="7">
        <f>Seabed_3ft!L8*0.3048</f>
        <v>455893.44958363887</v>
      </c>
      <c r="M7" s="7">
        <f>Seabed_3ft!M8*0.3048</f>
        <v>2981795.7310180189</v>
      </c>
      <c r="N7" s="7">
        <f>Seabed_3ft!N8*0.3048</f>
        <v>-1205.8954800000001</v>
      </c>
      <c r="O7" s="7">
        <f>Seabed_3ft!O8*0.3048</f>
        <v>32.308711511089761</v>
      </c>
      <c r="P7" s="7">
        <f>Seabed_3ft!P8*0.3048</f>
        <v>455892.21819164581</v>
      </c>
      <c r="Q7" s="7">
        <f>Seabed_3ft!Q8*0.3048</f>
        <v>2981792.942098035</v>
      </c>
      <c r="R7" s="7">
        <f>Seabed_3ft!R8*0.3048</f>
        <v>-1205.9381519999999</v>
      </c>
      <c r="S7" s="7">
        <f>Seabed_3ft!S8*0.3048</f>
        <v>32.309943302416862</v>
      </c>
      <c r="T7" s="7">
        <f>Seabed_3ft!T8*0.3048</f>
        <v>455890.98679964588</v>
      </c>
      <c r="U7" s="7">
        <f>Seabed_3ft!U8*0.3048</f>
        <v>2981790.1531780348</v>
      </c>
      <c r="V7" s="7">
        <f>Seabed_3ft!V8*0.3048</f>
        <v>-1205.9716800000001</v>
      </c>
      <c r="W7" s="67">
        <f>Seabed_3ft!W8*0.3048</f>
        <v>32.308711511089761</v>
      </c>
      <c r="X7" s="7">
        <f>Seabed_3ft!X8*0.3048</f>
        <v>455889.77193818492</v>
      </c>
      <c r="Y7" s="7">
        <f>Seabed_3ft!Y8*0.3048</f>
        <v>2981787.4048070298</v>
      </c>
      <c r="Z7" s="7">
        <f>Seabed_3ft!Z8*0.3048</f>
        <v>-1205.999112</v>
      </c>
      <c r="AA7" s="7">
        <f>Seabed_3ft!AA8*0.3048</f>
        <v>32.308711511089761</v>
      </c>
      <c r="AB7" s="7">
        <f>Seabed_3ft!AB8*0.3048</f>
        <v>455888.54054618493</v>
      </c>
      <c r="AC7" s="7">
        <f>Seabed_3ft!AC8*0.3048</f>
        <v>2981784.6158870296</v>
      </c>
      <c r="AD7" s="7">
        <f>Seabed_3ft!AD8*0.3048</f>
        <v>-1206.023496</v>
      </c>
      <c r="AE7" s="7">
        <f>Seabed_3ft!AE8*0.3048</f>
        <v>32.309947060405833</v>
      </c>
      <c r="AF7" s="7">
        <f>Seabed_3ft!AF8*0.3048</f>
        <v>455887.30915419187</v>
      </c>
      <c r="AG7" s="7">
        <f>Seabed_3ft!AG8*0.3048</f>
        <v>2981781.8269670461</v>
      </c>
      <c r="AH7" s="7">
        <f>Seabed_3ft!AH8*0.3048</f>
        <v>-1206.0509280000001</v>
      </c>
      <c r="AI7" s="7">
        <f>Seabed_3ft!AI8*0.3048</f>
        <v>32.309943302415988</v>
      </c>
      <c r="AJ7" s="7">
        <f>Seabed_3ft!AJ8*0.3048</f>
        <v>455886.04028544779</v>
      </c>
      <c r="AK7" s="7">
        <f>Seabed_3ft!AK8*0.3048</f>
        <v>2981778.9532229044</v>
      </c>
      <c r="AL7" s="7">
        <f>Seabed_3ft!AL8*0.3048</f>
        <v>-1206.081408</v>
      </c>
      <c r="AM7" s="7">
        <f>Seabed_3ft!AM8*0.3048</f>
        <v>32.305922456135399</v>
      </c>
      <c r="AN7" s="7">
        <f>Seabed_3ft!AN8*0.3048</f>
        <v>455884.82679163886</v>
      </c>
      <c r="AO7" s="7">
        <f>Seabed_3ft!AO8*0.3048</f>
        <v>2981776.2146740188</v>
      </c>
      <c r="AP7" s="7">
        <f>Seabed_3ft!AP8*0.3048</f>
        <v>-1206.1149360000002</v>
      </c>
      <c r="AQ7" s="7">
        <f>Seabed_3ft!AQ8*0.3048</f>
        <v>32.305922456200321</v>
      </c>
      <c r="AR7" s="7">
        <f>Seabed_3ft!AR8*0.3048</f>
        <v>455883.59539963893</v>
      </c>
      <c r="AS7" s="7">
        <f>Seabed_3ft!AS8*0.3048</f>
        <v>2981773.4257540191</v>
      </c>
      <c r="AT7" s="7">
        <f>Seabed_3ft!AT8*0.3048</f>
        <v>-1206.1301760000001</v>
      </c>
    </row>
    <row r="8" spans="1:46" x14ac:dyDescent="0.3">
      <c r="W8" s="10"/>
    </row>
    <row r="9" spans="1:46" x14ac:dyDescent="0.3">
      <c r="W9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AD0AB-F24C-42A6-A6F9-2EF3AAB16EEC}">
  <sheetPr codeName="Sheet4"/>
  <dimension ref="A1:BN34"/>
  <sheetViews>
    <sheetView topLeftCell="AM1" workbookViewId="0">
      <selection activeCell="BE20" sqref="BE20"/>
    </sheetView>
  </sheetViews>
  <sheetFormatPr defaultColWidth="9.21875" defaultRowHeight="14.4" x14ac:dyDescent="0.3"/>
  <cols>
    <col min="1" max="1" width="9.21875" bestFit="1" customWidth="1"/>
    <col min="2" max="3" width="12.21875" customWidth="1"/>
    <col min="4" max="4" width="10.77734375" bestFit="1" customWidth="1"/>
    <col min="5" max="5" width="11.21875" bestFit="1" customWidth="1"/>
    <col min="6" max="7" width="9.21875" bestFit="1" customWidth="1"/>
    <col min="8" max="9" width="10.77734375" bestFit="1" customWidth="1"/>
    <col min="10" max="11" width="9.21875" bestFit="1" customWidth="1"/>
    <col min="12" max="13" width="10.77734375" bestFit="1" customWidth="1"/>
    <col min="14" max="15" width="9.21875" bestFit="1" customWidth="1"/>
    <col min="16" max="17" width="10.77734375" bestFit="1" customWidth="1"/>
    <col min="18" max="19" width="9.21875" bestFit="1" customWidth="1"/>
    <col min="20" max="20" width="10.77734375" bestFit="1" customWidth="1"/>
    <col min="21" max="21" width="11.21875" bestFit="1" customWidth="1"/>
    <col min="22" max="23" width="9.21875" bestFit="1" customWidth="1"/>
    <col min="24" max="24" width="10.77734375" bestFit="1" customWidth="1"/>
    <col min="25" max="25" width="11.21875" bestFit="1" customWidth="1"/>
    <col min="26" max="27" width="9.21875" bestFit="1" customWidth="1"/>
    <col min="28" max="28" width="10.77734375" bestFit="1" customWidth="1"/>
    <col min="29" max="29" width="11.21875" bestFit="1" customWidth="1"/>
    <col min="30" max="31" width="9.21875" bestFit="1" customWidth="1"/>
    <col min="32" max="32" width="10.77734375" bestFit="1" customWidth="1"/>
    <col min="33" max="33" width="11.21875" bestFit="1" customWidth="1"/>
    <col min="34" max="35" width="9.21875" bestFit="1" customWidth="1"/>
    <col min="36" max="36" width="10.77734375" bestFit="1" customWidth="1"/>
    <col min="37" max="37" width="11.21875" bestFit="1" customWidth="1"/>
    <col min="38" max="39" width="9.21875" bestFit="1" customWidth="1"/>
    <col min="40" max="40" width="10.77734375" bestFit="1" customWidth="1"/>
    <col min="41" max="41" width="11.21875" bestFit="1" customWidth="1"/>
    <col min="42" max="43" width="9.21875" bestFit="1" customWidth="1"/>
    <col min="44" max="44" width="10.77734375" bestFit="1" customWidth="1"/>
    <col min="45" max="45" width="11.21875" bestFit="1" customWidth="1"/>
    <col min="46" max="46" width="9.21875" bestFit="1" customWidth="1"/>
    <col min="47" max="47" width="13.77734375" style="10" customWidth="1"/>
    <col min="48" max="48" width="13.77734375" style="9" customWidth="1"/>
    <col min="49" max="50" width="13.77734375" style="10" customWidth="1"/>
    <col min="51" max="51" width="13.77734375" style="11" customWidth="1"/>
    <col min="52" max="52" width="13.77734375" style="9" customWidth="1"/>
    <col min="53" max="53" width="13.77734375" style="10" customWidth="1"/>
    <col min="54" max="54" width="13.77734375" style="11" customWidth="1"/>
    <col min="55" max="55" width="13.77734375" style="9" customWidth="1"/>
    <col min="56" max="56" width="13.77734375" style="10" customWidth="1"/>
    <col min="57" max="57" width="13.77734375" style="11" customWidth="1"/>
    <col min="58" max="58" width="13.77734375" style="9" customWidth="1"/>
    <col min="60" max="60" width="10.21875" bestFit="1" customWidth="1"/>
    <col min="61" max="61" width="10" bestFit="1" customWidth="1"/>
    <col min="62" max="62" width="10.44140625" customWidth="1"/>
    <col min="63" max="63" width="9.21875" bestFit="1" customWidth="1"/>
    <col min="65" max="65" width="9.21875" bestFit="1" customWidth="1"/>
  </cols>
  <sheetData>
    <row r="1" spans="1:66" x14ac:dyDescent="0.3">
      <c r="A1" s="10"/>
      <c r="B1" s="10"/>
      <c r="D1" t="s">
        <v>5</v>
      </c>
      <c r="F1">
        <f>SQRT((D4-(X4))^2+(E4-(Y4))^2)</f>
        <v>15.240571793754567</v>
      </c>
      <c r="H1" t="s">
        <v>6</v>
      </c>
      <c r="J1">
        <f>SQRT((H4-(X4))^2+(I4-(Y4))^2)</f>
        <v>12.191899796498333</v>
      </c>
      <c r="L1" t="s">
        <v>7</v>
      </c>
      <c r="N1">
        <f>SQRT((L4-(X4))^2+(M4-(Y4))^2)</f>
        <v>9.1432278075574409</v>
      </c>
      <c r="P1" t="s">
        <v>8</v>
      </c>
      <c r="R1">
        <f>SQRT((P4-(X4))^2+(Q4-(Y4))^2)</f>
        <v>6.0945558389023287</v>
      </c>
      <c r="T1" t="s">
        <v>9</v>
      </c>
      <c r="V1">
        <f>SQRT((T4-(X4))^2+(U4-(Y4))^2)</f>
        <v>3.0486720096666633</v>
      </c>
      <c r="X1" t="s">
        <v>10</v>
      </c>
      <c r="Z1">
        <f>SQRT((X4-(X4))^2+(Y4-(Y4))^2)</f>
        <v>0</v>
      </c>
      <c r="AB1" t="s">
        <v>11</v>
      </c>
      <c r="AD1">
        <f>SQRT((AB4-(X4))^2+(AC4-(Y4))^2)</f>
        <v>3.0486720101161602</v>
      </c>
      <c r="AF1" t="s">
        <v>12</v>
      </c>
      <c r="AH1">
        <f>SQRT((AF4-(X4))^2+(AG4-(Y4))^2)</f>
        <v>6.094555838949371</v>
      </c>
      <c r="AJ1" t="s">
        <v>13</v>
      </c>
      <c r="AL1">
        <f>SQRT((AJ4-(X4))^2+(AK4-(Y4))^2)</f>
        <v>9.1432278075809581</v>
      </c>
      <c r="AN1" t="s">
        <v>14</v>
      </c>
      <c r="AP1">
        <f>SQRT((AN4-(X4))^2+(AO4-(Y4))^2)</f>
        <v>12.191899796545366</v>
      </c>
      <c r="AR1" t="s">
        <v>15</v>
      </c>
      <c r="AT1">
        <f>SQRT((AR4-(X4))^2+(AS4-(Y4))^2)</f>
        <v>15.240571794204053</v>
      </c>
      <c r="AV1" s="9">
        <v>46</v>
      </c>
      <c r="AW1" s="10">
        <v>42</v>
      </c>
      <c r="AX1" s="10">
        <v>38</v>
      </c>
      <c r="AY1" s="11">
        <v>34</v>
      </c>
      <c r="AZ1" s="9">
        <v>30</v>
      </c>
      <c r="BA1" s="10">
        <v>26</v>
      </c>
      <c r="BB1" s="11">
        <v>22</v>
      </c>
      <c r="BC1" s="9">
        <v>18</v>
      </c>
      <c r="BD1" s="10">
        <v>14</v>
      </c>
      <c r="BE1" s="11">
        <v>10</v>
      </c>
      <c r="BF1" s="9">
        <v>6</v>
      </c>
      <c r="BJ1" t="s">
        <v>186</v>
      </c>
      <c r="BK1" t="s">
        <v>185</v>
      </c>
      <c r="BM1" t="s">
        <v>187</v>
      </c>
    </row>
    <row r="2" spans="1:66" x14ac:dyDescent="0.3">
      <c r="C2" t="s">
        <v>44</v>
      </c>
      <c r="D2" t="s">
        <v>319</v>
      </c>
      <c r="E2" t="s">
        <v>320</v>
      </c>
      <c r="F2" t="s">
        <v>2</v>
      </c>
      <c r="G2" t="s">
        <v>44</v>
      </c>
      <c r="H2" t="s">
        <v>319</v>
      </c>
      <c r="I2" t="s">
        <v>320</v>
      </c>
      <c r="J2" t="s">
        <v>2</v>
      </c>
      <c r="K2" t="s">
        <v>44</v>
      </c>
      <c r="L2" t="s">
        <v>319</v>
      </c>
      <c r="M2" t="s">
        <v>320</v>
      </c>
      <c r="N2" t="s">
        <v>2</v>
      </c>
      <c r="O2" t="s">
        <v>44</v>
      </c>
      <c r="P2" t="s">
        <v>319</v>
      </c>
      <c r="Q2" t="s">
        <v>320</v>
      </c>
      <c r="R2" t="s">
        <v>2</v>
      </c>
      <c r="S2" t="s">
        <v>44</v>
      </c>
      <c r="T2" t="s">
        <v>319</v>
      </c>
      <c r="U2" t="s">
        <v>320</v>
      </c>
      <c r="V2" t="s">
        <v>2</v>
      </c>
      <c r="W2" t="s">
        <v>44</v>
      </c>
      <c r="X2" t="s">
        <v>319</v>
      </c>
      <c r="Y2" t="s">
        <v>320</v>
      </c>
      <c r="Z2" t="s">
        <v>2</v>
      </c>
      <c r="AA2" t="s">
        <v>44</v>
      </c>
      <c r="AB2" t="s">
        <v>319</v>
      </c>
      <c r="AC2" t="s">
        <v>320</v>
      </c>
      <c r="AD2" t="s">
        <v>2</v>
      </c>
      <c r="AE2" t="s">
        <v>44</v>
      </c>
      <c r="AF2" t="s">
        <v>319</v>
      </c>
      <c r="AG2" t="s">
        <v>320</v>
      </c>
      <c r="AH2" t="s">
        <v>2</v>
      </c>
      <c r="AI2" t="s">
        <v>44</v>
      </c>
      <c r="AJ2" t="s">
        <v>319</v>
      </c>
      <c r="AK2" t="s">
        <v>320</v>
      </c>
      <c r="AL2" t="s">
        <v>2</v>
      </c>
      <c r="AM2" t="s">
        <v>44</v>
      </c>
      <c r="AN2" t="s">
        <v>319</v>
      </c>
      <c r="AO2" t="s">
        <v>320</v>
      </c>
      <c r="AP2" t="s">
        <v>2</v>
      </c>
      <c r="AQ2" t="s">
        <v>44</v>
      </c>
      <c r="AR2" t="s">
        <v>319</v>
      </c>
      <c r="AS2" t="s">
        <v>320</v>
      </c>
      <c r="AT2" t="s">
        <v>2</v>
      </c>
      <c r="AU2" s="67"/>
      <c r="AV2" s="68">
        <f>AT1*-1</f>
        <v>-15.240571794204053</v>
      </c>
      <c r="AW2" s="67">
        <f>AP1*-1</f>
        <v>-12.191899796545366</v>
      </c>
      <c r="AX2" s="67">
        <f>AL1*-1</f>
        <v>-9.1432278075809581</v>
      </c>
      <c r="AY2" s="23">
        <f>AH1*-1</f>
        <v>-6.094555838949371</v>
      </c>
      <c r="AZ2" s="68">
        <f>AD1*-1</f>
        <v>-3.0486720101161602</v>
      </c>
      <c r="BA2" s="67">
        <f>Z1*-1</f>
        <v>0</v>
      </c>
      <c r="BB2" s="23">
        <f>V1*1</f>
        <v>3.0486720096666633</v>
      </c>
      <c r="BC2" s="68">
        <f>R1*1</f>
        <v>6.0945558389023287</v>
      </c>
      <c r="BD2" s="67">
        <f>N1*1</f>
        <v>9.1432278075574409</v>
      </c>
      <c r="BE2" s="23">
        <f>J1*1</f>
        <v>12.191899796498333</v>
      </c>
      <c r="BF2" s="68">
        <f>F1*1</f>
        <v>15.240571793754567</v>
      </c>
      <c r="BH2" t="s">
        <v>48</v>
      </c>
      <c r="BJ2">
        <v>1</v>
      </c>
      <c r="BK2">
        <v>3</v>
      </c>
      <c r="BL2" t="str">
        <f t="shared" ref="BL2:BL34" si="0">SUBSTITUTE(ADDRESS(1,BK2,4),1,)</f>
        <v>C</v>
      </c>
      <c r="BM2">
        <f>BK2+3</f>
        <v>6</v>
      </c>
      <c r="BN2" t="str">
        <f>SUBSTITUTE(ADDRESS(1,BM2,4),1,)</f>
        <v>F</v>
      </c>
    </row>
    <row r="3" spans="1:66" x14ac:dyDescent="0.3">
      <c r="C3" s="7">
        <f>Seabed_m!C3</f>
        <v>-30.48</v>
      </c>
      <c r="D3" s="7">
        <f>Seabed_m!D3-FL6new2!$AH$4</f>
        <v>-21.704365440818947</v>
      </c>
      <c r="E3" s="7">
        <f>Seabed_m!E3-FL6new2!$AI$4</f>
        <v>26.301849110983312</v>
      </c>
      <c r="F3" s="7">
        <f>Seabed_m!F3</f>
        <v>-1205.8375679999999</v>
      </c>
      <c r="G3" s="7">
        <f>Seabed_m!G3</f>
        <v>-30.48</v>
      </c>
      <c r="H3" s="7">
        <f>Seabed_m!H3-FL6new2!$AH$4</f>
        <v>-22.973234191886149</v>
      </c>
      <c r="I3" s="7">
        <f>Seabed_m!I3-FL6new2!$AI$4</f>
        <v>23.428104954306036</v>
      </c>
      <c r="J3" s="7">
        <f>Seabed_m!J3</f>
        <v>-1205.8802400000002</v>
      </c>
      <c r="K3" s="7">
        <f>Seabed_m!K3</f>
        <v>-30.48</v>
      </c>
      <c r="L3" s="7">
        <f>Seabed_m!L3-FL6new2!$AH$4</f>
        <v>-24.204626184946392</v>
      </c>
      <c r="M3" s="7">
        <f>Seabed_m!M3-FL6new2!$AI$4</f>
        <v>20.639184970408678</v>
      </c>
      <c r="N3" s="7">
        <f>Seabed_m!N3</f>
        <v>-1205.901576</v>
      </c>
      <c r="O3" s="7">
        <f>Seabed_m!O3</f>
        <v>-30.48</v>
      </c>
      <c r="P3" s="7">
        <f>Seabed_m!P3-FL6new2!$AH$4</f>
        <v>-25.436018184933346</v>
      </c>
      <c r="Q3" s="7">
        <f>Seabed_m!Q3-FL6new2!$AI$4</f>
        <v>17.850264970213175</v>
      </c>
      <c r="R3" s="7">
        <f>Seabed_m!R3</f>
        <v>-1205.9351040000001</v>
      </c>
      <c r="S3" s="7">
        <f>Seabed_m!S3</f>
        <v>-30.48</v>
      </c>
      <c r="T3" s="7">
        <f>Seabed_m!T3-FL6new2!$AH$4</f>
        <v>-26.629933440766763</v>
      </c>
      <c r="U3" s="7">
        <f>Seabed_m!U3-FL6new2!$AI$4</f>
        <v>15.149217111058533</v>
      </c>
      <c r="V3" s="7">
        <f>Seabed_m!V3</f>
        <v>-1205.9777759999999</v>
      </c>
      <c r="W3" s="23">
        <f>Seabed_m!W3</f>
        <v>-30.48</v>
      </c>
      <c r="X3" s="7">
        <f>Seabed_m!X3-FL6new2!$AH$4</f>
        <v>-27.882271645823494</v>
      </c>
      <c r="Y3" s="7">
        <f>Seabed_m!Y3-FL6new2!$AI$4</f>
        <v>12.312973964959383</v>
      </c>
      <c r="Z3" s="7">
        <f>Seabed_m!Z3</f>
        <v>-1205.9960639999999</v>
      </c>
      <c r="AA3" s="7">
        <f>Seabed_m!AA3</f>
        <v>-30.48</v>
      </c>
      <c r="AB3" s="7">
        <f>Seabed_m!AB3-FL6new2!$AH$4</f>
        <v>-29.113663645810448</v>
      </c>
      <c r="AC3" s="7">
        <f>Seabed_m!AC3-FL6new2!$AI$4</f>
        <v>9.5240539647638798</v>
      </c>
      <c r="AD3" s="7">
        <f>Seabed_m!AD3</f>
        <v>-1206.023496</v>
      </c>
      <c r="AE3" s="7">
        <f>Seabed_m!AE3</f>
        <v>-30.48</v>
      </c>
      <c r="AF3" s="7">
        <f>Seabed_m!AF3-FL6new2!$AH$4</f>
        <v>-30.307372371433303</v>
      </c>
      <c r="AG3" s="7">
        <f>Seabed_m!AG3-FL6new2!$AI$4</f>
        <v>6.8231634134426713</v>
      </c>
      <c r="AH3" s="7">
        <f>Seabed_m!AH3</f>
        <v>-1206.0509280000001</v>
      </c>
      <c r="AI3" s="7">
        <f>Seabed_m!AI3</f>
        <v>-30.48</v>
      </c>
      <c r="AJ3" s="7">
        <f>Seabed_m!AJ3-FL6new2!$AH$4</f>
        <v>-31.576447638915852</v>
      </c>
      <c r="AK3" s="7">
        <f>Seabed_m!AK3-FL6new2!$AI$4</f>
        <v>3.9492619810625911</v>
      </c>
      <c r="AL3" s="7">
        <f>Seabed_m!AL3</f>
        <v>-1206.081408</v>
      </c>
      <c r="AM3" s="7">
        <f>Seabed_m!AM3</f>
        <v>-30.48</v>
      </c>
      <c r="AN3" s="7">
        <f>Seabed_m!AN3-FL6new2!$AH$4</f>
        <v>-32.807839645887725</v>
      </c>
      <c r="AO3" s="7">
        <f>Seabed_m!AO3-FL6new2!$AI$4</f>
        <v>1.1603419650346041</v>
      </c>
      <c r="AP3" s="7">
        <f>Seabed_m!AP3</f>
        <v>-1206.1149360000002</v>
      </c>
      <c r="AQ3" s="7">
        <f>Seabed_m!AQ3</f>
        <v>-30.48</v>
      </c>
      <c r="AR3" s="7">
        <f>Seabed_m!AR3-FL6new2!$AH$4</f>
        <v>-34.039231646282133</v>
      </c>
      <c r="AS3" s="7">
        <f>Seabed_m!AS3-FL6new2!$AI$4</f>
        <v>-1.6285780360922217</v>
      </c>
      <c r="AT3" s="7">
        <f>Seabed_m!AT3</f>
        <v>-1206.13932</v>
      </c>
      <c r="AU3" s="69" t="s">
        <v>44</v>
      </c>
      <c r="AV3" s="70" t="s">
        <v>2</v>
      </c>
      <c r="AW3" s="69" t="s">
        <v>2</v>
      </c>
      <c r="AX3" s="69" t="s">
        <v>2</v>
      </c>
      <c r="AY3" s="71" t="s">
        <v>2</v>
      </c>
      <c r="AZ3" s="70" t="s">
        <v>2</v>
      </c>
      <c r="BA3" s="69" t="s">
        <v>2</v>
      </c>
      <c r="BB3" s="71" t="s">
        <v>2</v>
      </c>
      <c r="BC3" s="70" t="s">
        <v>2</v>
      </c>
      <c r="BD3" s="69" t="s">
        <v>2</v>
      </c>
      <c r="BE3" s="71" t="s">
        <v>2</v>
      </c>
      <c r="BF3" s="70" t="s">
        <v>2</v>
      </c>
      <c r="BG3" t="s">
        <v>46</v>
      </c>
      <c r="BH3" s="16">
        <f>MAX(BA4:BA8)</f>
        <v>-1205.9960639999999</v>
      </c>
      <c r="BI3" t="s">
        <v>40</v>
      </c>
      <c r="BJ3">
        <f t="shared" ref="BJ3:BJ34" si="1">BJ2+1</f>
        <v>2</v>
      </c>
      <c r="BK3">
        <f>BK2+4</f>
        <v>7</v>
      </c>
      <c r="BL3" t="str">
        <f t="shared" si="0"/>
        <v>G</v>
      </c>
      <c r="BM3">
        <f t="shared" ref="BM3:BM34" si="2">BK3+3</f>
        <v>10</v>
      </c>
      <c r="BN3" t="str">
        <f t="shared" ref="BN3:BN34" si="3">SUBSTITUTE(ADDRESS(1,BM3,4),1,)</f>
        <v>J</v>
      </c>
    </row>
    <row r="4" spans="1:66" x14ac:dyDescent="0.3">
      <c r="C4" s="7">
        <f>Seabed_m!C4</f>
        <v>0</v>
      </c>
      <c r="D4" s="7">
        <f>Seabed_m!D4-FL6new2!$AH$4</f>
        <v>6.1569599999929778</v>
      </c>
      <c r="E4" s="7">
        <f>Seabed_m!E4-FL6new2!$AI$4</f>
        <v>13.941551999654621</v>
      </c>
      <c r="F4" s="7">
        <f>Seabed_m!F4</f>
        <v>-1205.8375679999999</v>
      </c>
      <c r="G4" s="7">
        <f>Seabed_m!G4</f>
        <v>0</v>
      </c>
      <c r="H4" s="7">
        <f>Seabed_m!H4-FL6new2!$AH$4</f>
        <v>4.9255679999478161</v>
      </c>
      <c r="I4" s="7">
        <f>Seabed_m!I4-FL6new2!$AI$4</f>
        <v>11.152631999924779</v>
      </c>
      <c r="J4" s="7">
        <f>Seabed_m!J4</f>
        <v>-1205.8802400000002</v>
      </c>
      <c r="K4" s="7">
        <f>Seabed_m!K4</f>
        <v>0</v>
      </c>
      <c r="L4" s="7">
        <f>Seabed_m!L4-FL6new2!$AH$4</f>
        <v>3.6941759999608621</v>
      </c>
      <c r="M4" s="7">
        <f>Seabed_m!M4-FL6new2!$AI$4</f>
        <v>8.363712000194937</v>
      </c>
      <c r="N4" s="7">
        <f>Seabed_m!N4</f>
        <v>-1205.901576</v>
      </c>
      <c r="O4" s="7">
        <f>Seabed_m!O4</f>
        <v>0</v>
      </c>
      <c r="P4" s="7">
        <f>Seabed_m!P4-FL6new2!$AH$4</f>
        <v>2.4627839999157004</v>
      </c>
      <c r="Q4" s="7">
        <f>Seabed_m!Q4-FL6new2!$AI$4</f>
        <v>5.5747919999994338</v>
      </c>
      <c r="R4" s="7">
        <f>Seabed_m!R4</f>
        <v>-1205.9351040000001</v>
      </c>
      <c r="S4" s="7">
        <f>Seabed_m!S4</f>
        <v>0</v>
      </c>
      <c r="T4" s="7">
        <f>Seabed_m!T4-FL6new2!$AH$4</f>
        <v>1.231391999986954</v>
      </c>
      <c r="U4" s="7">
        <f>Seabed_m!U4-FL6new2!$AI$4</f>
        <v>2.7889199997298419</v>
      </c>
      <c r="V4" s="7">
        <f>Seabed_m!V4</f>
        <v>-1205.9777759999999</v>
      </c>
      <c r="W4" s="23">
        <f>Seabed_m!W4</f>
        <v>0</v>
      </c>
      <c r="X4" s="7">
        <f>Seabed_m!X4-FL6new2!$AH$4</f>
        <v>0</v>
      </c>
      <c r="Y4" s="7">
        <f>Seabed_m!Y4-FL6new2!$AI$4</f>
        <v>0</v>
      </c>
      <c r="Z4" s="7">
        <f>Seabed_m!Z4</f>
        <v>-1205.9960639999999</v>
      </c>
      <c r="AA4" s="7">
        <f>Seabed_m!AA4</f>
        <v>0</v>
      </c>
      <c r="AB4" s="7">
        <f>Seabed_m!AB4-FL6new2!$AH$4</f>
        <v>-1.2313920000451617</v>
      </c>
      <c r="AC4" s="7">
        <f>Seabed_m!AC4-FL6new2!$AI$4</f>
        <v>-2.7889200001955032</v>
      </c>
      <c r="AD4" s="7">
        <f>Seabed_m!AD4</f>
        <v>-1206.023496</v>
      </c>
      <c r="AE4" s="7">
        <f>Seabed_m!AE4</f>
        <v>0</v>
      </c>
      <c r="AF4" s="7">
        <f>Seabed_m!AF4-FL6new2!$AH$4</f>
        <v>-2.4627840000321157</v>
      </c>
      <c r="AG4" s="7">
        <f>Seabed_m!AG4-FL6new2!$AI$4</f>
        <v>-5.5747919999994338</v>
      </c>
      <c r="AH4" s="7">
        <f>Seabed_m!AH4</f>
        <v>-1206.0509280000001</v>
      </c>
      <c r="AI4" s="7">
        <f>Seabed_m!AI4</f>
        <v>0</v>
      </c>
      <c r="AJ4" s="7">
        <f>Seabed_m!AJ4-FL6new2!$AH$4</f>
        <v>-3.6941760000190698</v>
      </c>
      <c r="AK4" s="7">
        <f>Seabed_m!AK4-FL6new2!$AI$4</f>
        <v>-8.363712000194937</v>
      </c>
      <c r="AL4" s="7">
        <f>Seabed_m!AL4</f>
        <v>-1206.081408</v>
      </c>
      <c r="AM4" s="7">
        <f>Seabed_m!AM4</f>
        <v>0</v>
      </c>
      <c r="AN4" s="7">
        <f>Seabed_m!AN4-FL6new2!$AH$4</f>
        <v>-4.9255680000642315</v>
      </c>
      <c r="AO4" s="7">
        <f>Seabed_m!AO4-FL6new2!$AI$4</f>
        <v>-11.152631999924779</v>
      </c>
      <c r="AP4" s="7">
        <f>Seabed_m!AP4</f>
        <v>-1206.1149360000002</v>
      </c>
      <c r="AQ4" s="7">
        <f>Seabed_m!AQ4</f>
        <v>0</v>
      </c>
      <c r="AR4" s="7">
        <f>Seabed_m!AR4-FL6new2!$AH$4</f>
        <v>-6.1569600000511855</v>
      </c>
      <c r="AS4" s="7">
        <f>Seabed_m!AS4-FL6new2!$AI$4</f>
        <v>-13.941552000120282</v>
      </c>
      <c r="AT4" s="7">
        <f>Seabed_m!AT4</f>
        <v>-1206.13932</v>
      </c>
      <c r="AU4" s="67">
        <f t="shared" ref="AU4:AU8" si="4">W3</f>
        <v>-30.48</v>
      </c>
      <c r="AV4" s="68">
        <f t="shared" ref="AV4:AV8" si="5">AT3</f>
        <v>-1206.13932</v>
      </c>
      <c r="AW4" s="67">
        <f t="shared" ref="AW4:AW8" si="6">AP3</f>
        <v>-1206.1149360000002</v>
      </c>
      <c r="AX4" s="67">
        <f t="shared" ref="AX4:AX8" si="7">AL3</f>
        <v>-1206.081408</v>
      </c>
      <c r="AY4" s="23">
        <f t="shared" ref="AY4:AY8" si="8">AH3</f>
        <v>-1206.0509280000001</v>
      </c>
      <c r="AZ4" s="68">
        <f t="shared" ref="AZ4:AZ8" si="9">AD3</f>
        <v>-1206.023496</v>
      </c>
      <c r="BA4" s="67">
        <f t="shared" ref="BA4:BA8" si="10">Z3</f>
        <v>-1205.9960639999999</v>
      </c>
      <c r="BB4" s="23">
        <f t="shared" ref="BB4:BB8" si="11">V3</f>
        <v>-1205.9777759999999</v>
      </c>
      <c r="BC4" s="68">
        <f t="shared" ref="BC4:BC8" si="12">R3</f>
        <v>-1205.9351040000001</v>
      </c>
      <c r="BD4" s="67">
        <f t="shared" ref="BD4:BD8" si="13">N3</f>
        <v>-1205.901576</v>
      </c>
      <c r="BE4" s="23">
        <f t="shared" ref="BE4:BE8" si="14">J3</f>
        <v>-1205.8802400000002</v>
      </c>
      <c r="BF4" s="68">
        <f t="shared" ref="BF4:BF8" si="15">F3</f>
        <v>-1205.8375679999999</v>
      </c>
      <c r="BG4" t="s">
        <v>47</v>
      </c>
      <c r="BH4" s="16">
        <f>MIN(BA4:BA8)</f>
        <v>-1205.999112</v>
      </c>
      <c r="BI4" t="s">
        <v>40</v>
      </c>
      <c r="BJ4">
        <f t="shared" si="1"/>
        <v>3</v>
      </c>
      <c r="BK4">
        <f>BK3+4</f>
        <v>11</v>
      </c>
      <c r="BL4" t="str">
        <f t="shared" si="0"/>
        <v>K</v>
      </c>
      <c r="BM4">
        <f t="shared" si="2"/>
        <v>14</v>
      </c>
      <c r="BN4" t="str">
        <f t="shared" si="3"/>
        <v>N</v>
      </c>
    </row>
    <row r="5" spans="1:66" x14ac:dyDescent="0.3">
      <c r="C5" s="7">
        <f>Seabed_m!C5</f>
        <v>0.91698207446383773</v>
      </c>
      <c r="D5" s="7">
        <f>Seabed_m!D5-FL6new2!$AH$4</f>
        <v>6.9951599999913014</v>
      </c>
      <c r="E5" s="7">
        <f>Seabed_m!E5-FL6new2!$AI$4</f>
        <v>13.569695999845862</v>
      </c>
      <c r="F5" s="7">
        <f>Seabed_m!F5</f>
        <v>-1205.8375679999999</v>
      </c>
      <c r="G5" s="7">
        <f>Seabed_m!G5</f>
        <v>0.91575028290808613</v>
      </c>
      <c r="H5" s="7">
        <f>Seabed_m!H5-FL6new2!$AH$4</f>
        <v>5.7637679999461398</v>
      </c>
      <c r="I5" s="7">
        <f>Seabed_m!I5-FL6new2!$AI$4</f>
        <v>10.783824000041932</v>
      </c>
      <c r="J5" s="7">
        <f>Seabed_m!J5</f>
        <v>-1205.8741440000001</v>
      </c>
      <c r="K5" s="7">
        <f>Seabed_m!K5</f>
        <v>0.91575028313673457</v>
      </c>
      <c r="L5" s="7">
        <f>Seabed_m!L5-FL6new2!$AH$4</f>
        <v>4.5323759999591857</v>
      </c>
      <c r="M5" s="7">
        <f>Seabed_m!M5-FL6new2!$AI$4</f>
        <v>7.9949039998464286</v>
      </c>
      <c r="N5" s="7">
        <f>Seabed_m!N5</f>
        <v>-1205.8985280000002</v>
      </c>
      <c r="O5" s="7">
        <f>Seabed_m!O5</f>
        <v>0.91575028313673457</v>
      </c>
      <c r="P5" s="7">
        <f>Seabed_m!P5-FL6new2!$AH$4</f>
        <v>3.300983999914024</v>
      </c>
      <c r="Q5" s="7">
        <f>Seabed_m!Q5-FL6new2!$AI$4</f>
        <v>5.2059839996509254</v>
      </c>
      <c r="R5" s="7">
        <f>Seabed_m!R5</f>
        <v>-1205.9351040000001</v>
      </c>
      <c r="S5" s="7">
        <f>Seabed_m!S5</f>
        <v>0.91698207446383773</v>
      </c>
      <c r="T5" s="7">
        <f>Seabed_m!T5-FL6new2!$AH$4</f>
        <v>2.0695919999852777</v>
      </c>
      <c r="U5" s="7">
        <f>Seabed_m!U5-FL6new2!$AI$4</f>
        <v>2.4170639999210835</v>
      </c>
      <c r="V5" s="7">
        <f>Seabed_m!V5</f>
        <v>-1205.9716800000001</v>
      </c>
      <c r="W5" s="23">
        <f>Seabed_m!W5</f>
        <v>0.9129612279530267</v>
      </c>
      <c r="X5" s="7">
        <f>Seabed_m!X5-FL6new2!$AH$4</f>
        <v>0.83515200001420453</v>
      </c>
      <c r="Y5" s="7">
        <f>Seabed_m!Y5-FL6new2!$AI$4</f>
        <v>-0.36880799988284707</v>
      </c>
      <c r="Z5" s="7">
        <f>Seabed_m!Z5</f>
        <v>-1205.9960639999999</v>
      </c>
      <c r="AA5" s="7">
        <f>Seabed_m!AA5</f>
        <v>0.9129612279530267</v>
      </c>
      <c r="AB5" s="7">
        <f>Seabed_m!AB5-FL6new2!$AH$4</f>
        <v>-0.39624000003095716</v>
      </c>
      <c r="AC5" s="7">
        <f>Seabed_m!AC5-FL6new2!$AI$4</f>
        <v>-3.1577280000783503</v>
      </c>
      <c r="AD5" s="7">
        <f>Seabed_m!AD5</f>
        <v>-1206.0204480000002</v>
      </c>
      <c r="AE5" s="7">
        <f>Seabed_m!AE5</f>
        <v>0.91419677749774508</v>
      </c>
      <c r="AF5" s="7">
        <f>Seabed_m!AF5-FL6new2!$AH$4</f>
        <v>-1.6276320000179112</v>
      </c>
      <c r="AG5" s="7">
        <f>Seabed_m!AG5-FL6new2!$AI$4</f>
        <v>-5.9466480002738535</v>
      </c>
      <c r="AH5" s="7">
        <f>Seabed_m!AH5</f>
        <v>-1206.0509280000001</v>
      </c>
      <c r="AI5" s="7">
        <f>Seabed_m!AI5</f>
        <v>0.9129612281823738</v>
      </c>
      <c r="AJ5" s="7">
        <f>Seabed_m!AJ5-FL6new2!$AH$4</f>
        <v>-2.8590240000630729</v>
      </c>
      <c r="AK5" s="7">
        <f>Seabed_m!AK5-FL6new2!$AI$4</f>
        <v>-8.7325200000777841</v>
      </c>
      <c r="AL5" s="7">
        <f>Seabed_m!AL5</f>
        <v>-1206.07836</v>
      </c>
      <c r="AM5" s="7">
        <f>Seabed_m!AM5</f>
        <v>0.9129612279530267</v>
      </c>
      <c r="AN5" s="7">
        <f>Seabed_m!AN5-FL6new2!$AH$4</f>
        <v>-4.0904160000500269</v>
      </c>
      <c r="AO5" s="7">
        <f>Seabed_m!AO5-FL6new2!$AI$4</f>
        <v>-11.521439999807626</v>
      </c>
      <c r="AP5" s="7">
        <f>Seabed_m!AP5</f>
        <v>-1206.1118880000001</v>
      </c>
      <c r="AQ5" s="7">
        <f>Seabed_m!AQ5</f>
        <v>0.9129612280179451</v>
      </c>
      <c r="AR5" s="7">
        <f>Seabed_m!AR5-FL6new2!$AH$4</f>
        <v>-5.3218079999787733</v>
      </c>
      <c r="AS5" s="7">
        <f>Seabed_m!AS5-FL6new2!$AI$4</f>
        <v>-14.310360000003129</v>
      </c>
      <c r="AT5" s="7">
        <f>Seabed_m!AT5</f>
        <v>-1206.136272</v>
      </c>
      <c r="AU5" s="67">
        <f t="shared" si="4"/>
        <v>0</v>
      </c>
      <c r="AV5" s="68">
        <f t="shared" si="5"/>
        <v>-1206.13932</v>
      </c>
      <c r="AW5" s="67">
        <f t="shared" si="6"/>
        <v>-1206.1149360000002</v>
      </c>
      <c r="AX5" s="67">
        <f t="shared" si="7"/>
        <v>-1206.081408</v>
      </c>
      <c r="AY5" s="23">
        <f t="shared" si="8"/>
        <v>-1206.0509280000001</v>
      </c>
      <c r="AZ5" s="68">
        <f t="shared" si="9"/>
        <v>-1206.023496</v>
      </c>
      <c r="BA5" s="67">
        <f t="shared" si="10"/>
        <v>-1205.9960639999999</v>
      </c>
      <c r="BB5" s="23">
        <f t="shared" si="11"/>
        <v>-1205.9777759999999</v>
      </c>
      <c r="BC5" s="68">
        <f t="shared" si="12"/>
        <v>-1205.9351040000001</v>
      </c>
      <c r="BD5" s="67">
        <f t="shared" si="13"/>
        <v>-1205.901576</v>
      </c>
      <c r="BE5" s="23">
        <f t="shared" si="14"/>
        <v>-1205.8802400000002</v>
      </c>
      <c r="BF5" s="68">
        <f t="shared" si="15"/>
        <v>-1205.8375679999999</v>
      </c>
      <c r="BH5" t="s">
        <v>49</v>
      </c>
      <c r="BJ5">
        <f t="shared" si="1"/>
        <v>4</v>
      </c>
      <c r="BK5">
        <f t="shared" ref="BK5:BK34" si="16">BK4+4</f>
        <v>15</v>
      </c>
      <c r="BL5" t="str">
        <f t="shared" si="0"/>
        <v>O</v>
      </c>
      <c r="BM5">
        <f t="shared" si="2"/>
        <v>18</v>
      </c>
      <c r="BN5" t="str">
        <f t="shared" si="3"/>
        <v>R</v>
      </c>
    </row>
    <row r="6" spans="1:66" x14ac:dyDescent="0.3">
      <c r="C6" s="7">
        <f>Seabed_m!C6</f>
        <v>1.8299433024168643</v>
      </c>
      <c r="D6" s="7">
        <f>Seabed_m!D6-FL6new2!$AH$4</f>
        <v>7.8303119999472983</v>
      </c>
      <c r="E6" s="7">
        <f>Seabed_m!E6-FL6new2!$AI$4</f>
        <v>13.200887999963015</v>
      </c>
      <c r="F6" s="7">
        <f>Seabed_m!F6</f>
        <v>-1205.8345200000001</v>
      </c>
      <c r="G6" s="7">
        <f>Seabed_m!G6</f>
        <v>1.8299470604058312</v>
      </c>
      <c r="H6" s="7">
        <f>Seabed_m!H6-FL6new2!$AH$4</f>
        <v>6.5989199999603443</v>
      </c>
      <c r="I6" s="7">
        <f>Seabed_m!I6-FL6new2!$AI$4</f>
        <v>10.411967999767512</v>
      </c>
      <c r="J6" s="7">
        <f>Seabed_m!J6</f>
        <v>-1205.8710960000001</v>
      </c>
      <c r="K6" s="7">
        <f>Seabed_m!K6</f>
        <v>1.8287115113191084</v>
      </c>
      <c r="L6" s="7">
        <f>Seabed_m!L6-FL6new2!$AH$4</f>
        <v>5.3675279999733903</v>
      </c>
      <c r="M6" s="7">
        <f>Seabed_m!M6-FL6new2!$AI$4</f>
        <v>7.6260959994979203</v>
      </c>
      <c r="N6" s="7">
        <f>Seabed_m!N6</f>
        <v>-1205.8954800000001</v>
      </c>
      <c r="O6" s="7">
        <f>Seabed_m!O6</f>
        <v>1.8287115110897614</v>
      </c>
      <c r="P6" s="7">
        <f>Seabed_m!P6-FL6new2!$AH$4</f>
        <v>4.1361359999282286</v>
      </c>
      <c r="Q6" s="7">
        <f>Seabed_m!Q6-FL6new2!$AI$4</f>
        <v>4.8371760002337396</v>
      </c>
      <c r="R6" s="7">
        <f>Seabed_m!R6</f>
        <v>-1205.9381519999999</v>
      </c>
      <c r="S6" s="7">
        <f>Seabed_m!S6</f>
        <v>1.8299433024168643</v>
      </c>
      <c r="T6" s="7">
        <f>Seabed_m!T6-FL6new2!$AH$4</f>
        <v>2.9047439999994822</v>
      </c>
      <c r="U6" s="7">
        <f>Seabed_m!U6-FL6new2!$AI$4</f>
        <v>2.0482560000382364</v>
      </c>
      <c r="V6" s="7">
        <f>Seabed_m!V6</f>
        <v>-1205.9716800000001</v>
      </c>
      <c r="W6" s="23">
        <f>Seabed_m!W6</f>
        <v>1.8287115110897614</v>
      </c>
      <c r="X6" s="7">
        <f>Seabed_m!X6-FL6new2!$AH$4</f>
        <v>1.6733520000125282</v>
      </c>
      <c r="Y6" s="7">
        <f>Seabed_m!Y6-FL6new2!$AI$4</f>
        <v>-0.73761600023135543</v>
      </c>
      <c r="Z6" s="7">
        <f>Seabed_m!Z6</f>
        <v>-1205.999112</v>
      </c>
      <c r="AA6" s="7">
        <f>Seabed_m!AA6</f>
        <v>1.8287115110897614</v>
      </c>
      <c r="AB6" s="7">
        <f>Seabed_m!AB6-FL6new2!$AH$4</f>
        <v>0.44195999996736646</v>
      </c>
      <c r="AC6" s="7">
        <f>Seabed_m!AC6-FL6new2!$AI$4</f>
        <v>-3.5265360004268587</v>
      </c>
      <c r="AD6" s="7">
        <f>Seabed_m!AD6</f>
        <v>-1206.023496</v>
      </c>
      <c r="AE6" s="7">
        <f>Seabed_m!AE6</f>
        <v>1.8299470604058312</v>
      </c>
      <c r="AF6" s="7">
        <f>Seabed_m!AF6-FL6new2!$AH$4</f>
        <v>-0.78943200001958758</v>
      </c>
      <c r="AG6" s="7">
        <f>Seabed_m!AG6-FL6new2!$AI$4</f>
        <v>-6.3154559996910393</v>
      </c>
      <c r="AH6" s="7">
        <f>Seabed_m!AH6</f>
        <v>-1206.0509280000001</v>
      </c>
      <c r="AI6" s="7">
        <f>Seabed_m!AI6</f>
        <v>1.829943302415983</v>
      </c>
      <c r="AJ6" s="7">
        <f>Seabed_m!AJ6-FL6new2!$AH$4</f>
        <v>-2.0208240000647493</v>
      </c>
      <c r="AK6" s="7">
        <f>Seabed_m!AK6-FL6new2!$AI$4</f>
        <v>-9.1043759998865426</v>
      </c>
      <c r="AL6" s="7">
        <f>Seabed_m!AL6</f>
        <v>-1206.081408</v>
      </c>
      <c r="AM6" s="7">
        <f>Seabed_m!AM6</f>
        <v>1.8259224561354006</v>
      </c>
      <c r="AN6" s="7">
        <f>Seabed_m!AN6-FL6new2!$AH$4</f>
        <v>-3.2552640000358224</v>
      </c>
      <c r="AO6" s="7">
        <f>Seabed_m!AO6-FL6new2!$AI$4</f>
        <v>-11.890248000156134</v>
      </c>
      <c r="AP6" s="7">
        <f>Seabed_m!AP6</f>
        <v>-1206.1149360000002</v>
      </c>
      <c r="AQ6" s="7">
        <f>Seabed_m!AQ6</f>
        <v>1.8259224562003189</v>
      </c>
      <c r="AR6" s="7">
        <f>Seabed_m!AR6-FL6new2!$AH$4</f>
        <v>-4.4866560000227764</v>
      </c>
      <c r="AS6" s="7">
        <f>Seabed_m!AS6-FL6new2!$AI$4</f>
        <v>-14.679168000351638</v>
      </c>
      <c r="AT6" s="7">
        <f>Seabed_m!AT6</f>
        <v>-1206.1301760000001</v>
      </c>
      <c r="AU6" s="67">
        <f t="shared" si="4"/>
        <v>0.9129612279530267</v>
      </c>
      <c r="AV6" s="68">
        <f t="shared" si="5"/>
        <v>-1206.136272</v>
      </c>
      <c r="AW6" s="67">
        <f t="shared" si="6"/>
        <v>-1206.1118880000001</v>
      </c>
      <c r="AX6" s="67">
        <f t="shared" si="7"/>
        <v>-1206.07836</v>
      </c>
      <c r="AY6" s="23">
        <f t="shared" si="8"/>
        <v>-1206.0509280000001</v>
      </c>
      <c r="AZ6" s="68">
        <f t="shared" si="9"/>
        <v>-1206.0204480000002</v>
      </c>
      <c r="BA6" s="67">
        <f t="shared" si="10"/>
        <v>-1205.9960639999999</v>
      </c>
      <c r="BB6" s="23">
        <f t="shared" si="11"/>
        <v>-1205.9716800000001</v>
      </c>
      <c r="BC6" s="68">
        <f t="shared" si="12"/>
        <v>-1205.9351040000001</v>
      </c>
      <c r="BD6" s="67">
        <f t="shared" si="13"/>
        <v>-1205.8985280000002</v>
      </c>
      <c r="BE6" s="23">
        <f t="shared" si="14"/>
        <v>-1205.8741440000001</v>
      </c>
      <c r="BF6" s="68">
        <f t="shared" si="15"/>
        <v>-1205.8375679999999</v>
      </c>
      <c r="BG6" t="s">
        <v>46</v>
      </c>
      <c r="BH6" s="16">
        <f>MAX(AV4:BF8)</f>
        <v>-1205.8345200000001</v>
      </c>
      <c r="BI6" t="s">
        <v>40</v>
      </c>
      <c r="BJ6">
        <f t="shared" si="1"/>
        <v>5</v>
      </c>
      <c r="BK6">
        <f t="shared" si="16"/>
        <v>19</v>
      </c>
      <c r="BL6" t="str">
        <f t="shared" si="0"/>
        <v>S</v>
      </c>
      <c r="BM6">
        <f t="shared" si="2"/>
        <v>22</v>
      </c>
      <c r="BN6" t="str">
        <f t="shared" si="3"/>
        <v>V</v>
      </c>
    </row>
    <row r="7" spans="1:66" x14ac:dyDescent="0.3">
      <c r="C7" s="7">
        <f>Seabed_m!C7</f>
        <v>32.309943302416862</v>
      </c>
      <c r="D7" s="7">
        <f>Seabed_m!D7-FL6new2!$AH$4</f>
        <v>35.712583645770792</v>
      </c>
      <c r="E7" s="7">
        <f>Seabed_m!E7-FL6new2!$AI$4</f>
        <v>0.88791403453797102</v>
      </c>
      <c r="F7" s="7">
        <f>Seabed_m!F7</f>
        <v>-1205.8345200000001</v>
      </c>
      <c r="G7" s="7">
        <f>Seabed_m!G7</f>
        <v>32.309947060405833</v>
      </c>
      <c r="H7" s="7">
        <f>Seabed_m!H7-FL6new2!$AH$4</f>
        <v>34.443508371361531</v>
      </c>
      <c r="I7" s="7">
        <f>Seabed_m!I7-FL6new2!$AI$4</f>
        <v>-1.985987413674593</v>
      </c>
      <c r="J7" s="7">
        <f>Seabed_m!J7</f>
        <v>-1205.8710960000001</v>
      </c>
      <c r="K7" s="7">
        <f>Seabed_m!K7</f>
        <v>32.30871151131911</v>
      </c>
      <c r="L7" s="7">
        <f>Seabed_m!L7-FL6new2!$AH$4</f>
        <v>33.249799638811965</v>
      </c>
      <c r="M7" s="7">
        <f>Seabed_m!M7-FL6new2!$AI$4</f>
        <v>-4.6868779812939465</v>
      </c>
      <c r="N7" s="7">
        <f>Seabed_m!N7</f>
        <v>-1205.8954800000001</v>
      </c>
      <c r="O7" s="7">
        <f>Seabed_m!O7</f>
        <v>32.308711511089761</v>
      </c>
      <c r="P7" s="7">
        <f>Seabed_m!P7-FL6new2!$AH$4</f>
        <v>32.018407645751722</v>
      </c>
      <c r="Q7" s="7">
        <f>Seabed_m!Q7-FL6new2!$AI$4</f>
        <v>-7.4757979651913047</v>
      </c>
      <c r="R7" s="7">
        <f>Seabed_m!R7</f>
        <v>-1205.9381519999999</v>
      </c>
      <c r="S7" s="7">
        <f>Seabed_m!S7</f>
        <v>32.309943302416862</v>
      </c>
      <c r="T7" s="7">
        <f>Seabed_m!T7-FL6new2!$AH$4</f>
        <v>30.787015645822976</v>
      </c>
      <c r="U7" s="7">
        <f>Seabed_m!U7-FL6new2!$AI$4</f>
        <v>-10.264717965386808</v>
      </c>
      <c r="V7" s="7">
        <f>Seabed_m!V7</f>
        <v>-1205.9716800000001</v>
      </c>
      <c r="W7" s="23">
        <f>Seabed_m!W7</f>
        <v>32.308711511089761</v>
      </c>
      <c r="X7" s="7">
        <f>Seabed_m!X7-FL6new2!$AH$4</f>
        <v>29.572154184861574</v>
      </c>
      <c r="Y7" s="7">
        <f>Seabed_m!Y7-FL6new2!$AI$4</f>
        <v>-13.013088970445096</v>
      </c>
      <c r="Z7" s="7">
        <f>Seabed_m!Z7</f>
        <v>-1205.999112</v>
      </c>
      <c r="AA7" s="7">
        <f>Seabed_m!AA7</f>
        <v>32.308711511089761</v>
      </c>
      <c r="AB7" s="7">
        <f>Seabed_m!AB7-FL6new2!$AH$4</f>
        <v>28.34076218487462</v>
      </c>
      <c r="AC7" s="7">
        <f>Seabed_m!AC7-FL6new2!$AI$4</f>
        <v>-15.8020089706406</v>
      </c>
      <c r="AD7" s="7">
        <f>Seabed_m!AD7</f>
        <v>-1206.023496</v>
      </c>
      <c r="AE7" s="7">
        <f>Seabed_m!AE7</f>
        <v>32.309947060405833</v>
      </c>
      <c r="AF7" s="7">
        <f>Seabed_m!AF7-FL6new2!$AH$4</f>
        <v>27.109370191814378</v>
      </c>
      <c r="AG7" s="7">
        <f>Seabed_m!AG7-FL6new2!$AI$4</f>
        <v>-18.590928954072297</v>
      </c>
      <c r="AH7" s="7">
        <f>Seabed_m!AH7</f>
        <v>-1206.0509280000001</v>
      </c>
      <c r="AI7" s="7">
        <f>Seabed_m!AI7</f>
        <v>32.309943302415988</v>
      </c>
      <c r="AJ7" s="7">
        <f>Seabed_m!AJ7-FL6new2!$AH$4</f>
        <v>25.840501447732095</v>
      </c>
      <c r="AK7" s="7">
        <f>Seabed_m!AK7-FL6new2!$AI$4</f>
        <v>-21.464673095848411</v>
      </c>
      <c r="AL7" s="7">
        <f>Seabed_m!AL7</f>
        <v>-1206.081408</v>
      </c>
      <c r="AM7" s="7">
        <f>Seabed_m!AM7</f>
        <v>32.305922456135399</v>
      </c>
      <c r="AN7" s="7">
        <f>Seabed_m!AN7-FL6new2!$AH$4</f>
        <v>24.627007638802752</v>
      </c>
      <c r="AO7" s="7">
        <f>Seabed_m!AO7-FL6new2!$AI$4</f>
        <v>-24.203221981413662</v>
      </c>
      <c r="AP7" s="7">
        <f>Seabed_m!AP7</f>
        <v>-1206.1149360000002</v>
      </c>
      <c r="AQ7" s="7">
        <f>Seabed_m!AQ7</f>
        <v>32.305922456200321</v>
      </c>
      <c r="AR7" s="7">
        <f>Seabed_m!AR7-FL6new2!$AH$4</f>
        <v>23.395615638874006</v>
      </c>
      <c r="AS7" s="7">
        <f>Seabed_m!AS7-FL6new2!$AI$4</f>
        <v>-26.992141981143504</v>
      </c>
      <c r="AT7" s="7">
        <f>Seabed_m!AT7</f>
        <v>-1206.1301760000001</v>
      </c>
      <c r="AU7" s="67">
        <f t="shared" si="4"/>
        <v>1.8287115110897614</v>
      </c>
      <c r="AV7" s="68">
        <f t="shared" si="5"/>
        <v>-1206.1301760000001</v>
      </c>
      <c r="AW7" s="67">
        <f t="shared" si="6"/>
        <v>-1206.1149360000002</v>
      </c>
      <c r="AX7" s="67">
        <f t="shared" si="7"/>
        <v>-1206.081408</v>
      </c>
      <c r="AY7" s="23">
        <f t="shared" si="8"/>
        <v>-1206.0509280000001</v>
      </c>
      <c r="AZ7" s="68">
        <f t="shared" si="9"/>
        <v>-1206.023496</v>
      </c>
      <c r="BA7" s="67">
        <f t="shared" si="10"/>
        <v>-1205.999112</v>
      </c>
      <c r="BB7" s="23">
        <f t="shared" si="11"/>
        <v>-1205.9716800000001</v>
      </c>
      <c r="BC7" s="68">
        <f t="shared" si="12"/>
        <v>-1205.9381519999999</v>
      </c>
      <c r="BD7" s="67">
        <f t="shared" si="13"/>
        <v>-1205.8954800000001</v>
      </c>
      <c r="BE7" s="23">
        <f t="shared" si="14"/>
        <v>-1205.8710960000001</v>
      </c>
      <c r="BF7" s="68">
        <f t="shared" si="15"/>
        <v>-1205.8345200000001</v>
      </c>
      <c r="BG7" t="s">
        <v>47</v>
      </c>
      <c r="BH7" s="16">
        <f>MIN(AV4:BF8)</f>
        <v>-1206.13932</v>
      </c>
      <c r="BI7" t="s">
        <v>40</v>
      </c>
      <c r="BJ7">
        <f t="shared" si="1"/>
        <v>6</v>
      </c>
      <c r="BK7">
        <f t="shared" si="16"/>
        <v>23</v>
      </c>
      <c r="BL7" t="str">
        <f t="shared" si="0"/>
        <v>W</v>
      </c>
      <c r="BM7">
        <f t="shared" si="2"/>
        <v>26</v>
      </c>
      <c r="BN7" t="str">
        <f t="shared" si="3"/>
        <v>Z</v>
      </c>
    </row>
    <row r="8" spans="1:66" x14ac:dyDescent="0.3">
      <c r="E8" s="1"/>
      <c r="I8" s="1"/>
      <c r="M8" s="1"/>
      <c r="Q8" s="1"/>
      <c r="U8" s="1"/>
      <c r="W8" s="11"/>
      <c r="Y8" s="1"/>
      <c r="AC8" s="1"/>
      <c r="AG8" s="1"/>
      <c r="AK8" s="1"/>
      <c r="AO8" s="1"/>
      <c r="AS8" s="1"/>
      <c r="AU8" s="67">
        <f t="shared" si="4"/>
        <v>32.308711511089761</v>
      </c>
      <c r="AV8" s="68">
        <f t="shared" si="5"/>
        <v>-1206.1301760000001</v>
      </c>
      <c r="AW8" s="67">
        <f t="shared" si="6"/>
        <v>-1206.1149360000002</v>
      </c>
      <c r="AX8" s="67">
        <f t="shared" si="7"/>
        <v>-1206.081408</v>
      </c>
      <c r="AY8" s="23">
        <f t="shared" si="8"/>
        <v>-1206.0509280000001</v>
      </c>
      <c r="AZ8" s="68">
        <f t="shared" si="9"/>
        <v>-1206.023496</v>
      </c>
      <c r="BA8" s="67">
        <f t="shared" si="10"/>
        <v>-1205.999112</v>
      </c>
      <c r="BB8" s="23">
        <f t="shared" si="11"/>
        <v>-1205.9716800000001</v>
      </c>
      <c r="BC8" s="68">
        <f t="shared" si="12"/>
        <v>-1205.9381519999999</v>
      </c>
      <c r="BD8" s="67">
        <f t="shared" si="13"/>
        <v>-1205.8954800000001</v>
      </c>
      <c r="BE8" s="23">
        <f t="shared" si="14"/>
        <v>-1205.8710960000001</v>
      </c>
      <c r="BF8" s="68">
        <f t="shared" si="15"/>
        <v>-1205.8345200000001</v>
      </c>
      <c r="BH8" t="s">
        <v>48</v>
      </c>
      <c r="BI8" t="s">
        <v>49</v>
      </c>
      <c r="BJ8">
        <f t="shared" si="1"/>
        <v>7</v>
      </c>
      <c r="BK8">
        <f t="shared" si="16"/>
        <v>27</v>
      </c>
      <c r="BL8" t="str">
        <f t="shared" si="0"/>
        <v>AA</v>
      </c>
      <c r="BM8">
        <f t="shared" si="2"/>
        <v>30</v>
      </c>
      <c r="BN8" t="str">
        <f t="shared" si="3"/>
        <v>AD</v>
      </c>
    </row>
    <row r="9" spans="1:66" x14ac:dyDescent="0.3">
      <c r="E9" s="1"/>
      <c r="I9" s="1"/>
      <c r="M9" s="1"/>
      <c r="Q9" s="1"/>
      <c r="U9" s="1"/>
      <c r="W9" s="11"/>
      <c r="Y9" s="1"/>
      <c r="AC9" s="1"/>
      <c r="AG9" s="1"/>
      <c r="AK9" s="1"/>
      <c r="AO9" s="1"/>
      <c r="AS9" s="1"/>
      <c r="AV9" s="17"/>
      <c r="AW9" s="18"/>
      <c r="AX9" s="18"/>
      <c r="AY9" s="19"/>
      <c r="AZ9" s="17"/>
      <c r="BA9" s="18"/>
      <c r="BB9" s="19"/>
      <c r="BC9" s="17"/>
      <c r="BD9" s="18"/>
      <c r="BE9" s="19"/>
      <c r="BF9" s="17"/>
      <c r="BG9" t="s">
        <v>207</v>
      </c>
      <c r="BH9" s="16">
        <f>AVERAGE(BA4:BA8)</f>
        <v>-1205.9972831999999</v>
      </c>
      <c r="BI9" s="16">
        <f>AVERAGE(AV4:BF8)</f>
        <v>-1205.9929051636364</v>
      </c>
      <c r="BJ9">
        <f t="shared" si="1"/>
        <v>8</v>
      </c>
      <c r="BK9">
        <f t="shared" si="16"/>
        <v>31</v>
      </c>
      <c r="BL9" t="str">
        <f t="shared" si="0"/>
        <v>AE</v>
      </c>
      <c r="BM9">
        <f t="shared" si="2"/>
        <v>34</v>
      </c>
      <c r="BN9" t="str">
        <f t="shared" si="3"/>
        <v>AH</v>
      </c>
    </row>
    <row r="10" spans="1:66" x14ac:dyDescent="0.3">
      <c r="E10" s="1"/>
      <c r="I10" s="1"/>
      <c r="M10" s="1"/>
      <c r="Q10" s="1"/>
      <c r="U10" s="1"/>
      <c r="W10" s="11"/>
      <c r="Y10" s="1"/>
      <c r="AC10" s="1"/>
      <c r="AG10" s="1"/>
      <c r="AK10" s="1"/>
      <c r="AO10" s="1"/>
      <c r="AS10" s="1"/>
      <c r="AV10" s="17"/>
      <c r="AW10" s="18"/>
      <c r="AX10" s="18"/>
      <c r="AY10" s="19"/>
      <c r="AZ10" s="17"/>
      <c r="BA10" s="18"/>
      <c r="BB10" s="19"/>
      <c r="BC10" s="17"/>
      <c r="BD10" s="18"/>
      <c r="BE10" s="19"/>
      <c r="BF10" s="17"/>
      <c r="BJ10">
        <f t="shared" si="1"/>
        <v>9</v>
      </c>
      <c r="BK10">
        <f t="shared" si="16"/>
        <v>35</v>
      </c>
      <c r="BL10" t="str">
        <f t="shared" si="0"/>
        <v>AI</v>
      </c>
      <c r="BM10">
        <f t="shared" si="2"/>
        <v>38</v>
      </c>
      <c r="BN10" t="str">
        <f t="shared" si="3"/>
        <v>AL</v>
      </c>
    </row>
    <row r="11" spans="1:66" x14ac:dyDescent="0.3">
      <c r="E11" s="1"/>
      <c r="I11" s="1"/>
      <c r="M11" s="1"/>
      <c r="Q11" s="1"/>
      <c r="U11" s="1"/>
      <c r="W11" s="11"/>
      <c r="Y11" s="1"/>
      <c r="AC11" s="1"/>
      <c r="AG11" s="1"/>
      <c r="AK11" s="1"/>
      <c r="AO11" s="1"/>
      <c r="AS11" s="1"/>
      <c r="AV11" s="17"/>
      <c r="AW11" s="18"/>
      <c r="AX11" s="18"/>
      <c r="AY11" s="19"/>
      <c r="AZ11" s="17"/>
      <c r="BA11" s="18"/>
      <c r="BB11" s="19"/>
      <c r="BC11" s="17"/>
      <c r="BD11" s="18"/>
      <c r="BE11" s="19"/>
      <c r="BF11" s="17"/>
      <c r="BJ11">
        <f t="shared" si="1"/>
        <v>10</v>
      </c>
      <c r="BK11">
        <f t="shared" si="16"/>
        <v>39</v>
      </c>
      <c r="BL11" t="str">
        <f t="shared" si="0"/>
        <v>AM</v>
      </c>
      <c r="BM11">
        <f t="shared" si="2"/>
        <v>42</v>
      </c>
      <c r="BN11" t="str">
        <f t="shared" si="3"/>
        <v>AP</v>
      </c>
    </row>
    <row r="12" spans="1:66" x14ac:dyDescent="0.3">
      <c r="E12" s="1"/>
      <c r="I12" s="1"/>
      <c r="M12" s="1"/>
      <c r="Q12" s="1"/>
      <c r="U12" s="1"/>
      <c r="W12" s="11"/>
      <c r="Y12" s="1"/>
      <c r="AC12" s="1"/>
      <c r="AG12" s="1"/>
      <c r="AK12" s="1"/>
      <c r="AO12" s="1"/>
      <c r="AS12" s="1"/>
      <c r="AV12" s="17"/>
      <c r="AW12" s="18"/>
      <c r="AX12" s="18"/>
      <c r="AY12" s="19"/>
      <c r="AZ12" s="17"/>
      <c r="BA12" s="18"/>
      <c r="BB12" s="19"/>
      <c r="BC12" s="17"/>
      <c r="BD12" s="18"/>
      <c r="BE12" s="19"/>
      <c r="BF12" s="17"/>
      <c r="BJ12">
        <f t="shared" si="1"/>
        <v>11</v>
      </c>
      <c r="BK12">
        <f t="shared" si="16"/>
        <v>43</v>
      </c>
      <c r="BL12" t="str">
        <f t="shared" si="0"/>
        <v>AQ</v>
      </c>
      <c r="BM12">
        <f t="shared" si="2"/>
        <v>46</v>
      </c>
      <c r="BN12" t="str">
        <f t="shared" si="3"/>
        <v>AT</v>
      </c>
    </row>
    <row r="13" spans="1:66" x14ac:dyDescent="0.3">
      <c r="E13" s="1"/>
      <c r="I13" s="1"/>
      <c r="M13" s="1"/>
      <c r="Q13" s="1"/>
      <c r="U13" s="1"/>
      <c r="W13" s="11"/>
      <c r="Y13" s="1"/>
      <c r="AC13" s="1"/>
      <c r="AG13" s="1"/>
      <c r="AK13" s="1"/>
      <c r="AO13" s="1"/>
      <c r="AS13" s="1"/>
      <c r="AV13" s="17"/>
      <c r="AW13" s="18"/>
      <c r="AX13" s="18"/>
      <c r="AY13" s="19"/>
      <c r="AZ13" s="17"/>
      <c r="BA13" s="18"/>
      <c r="BB13" s="19"/>
      <c r="BC13" s="17"/>
      <c r="BD13" s="18"/>
      <c r="BE13" s="19"/>
      <c r="BF13" s="17"/>
      <c r="BJ13">
        <f t="shared" si="1"/>
        <v>12</v>
      </c>
      <c r="BK13">
        <f t="shared" si="16"/>
        <v>47</v>
      </c>
      <c r="BL13" t="str">
        <f t="shared" si="0"/>
        <v>AU</v>
      </c>
      <c r="BM13">
        <f t="shared" si="2"/>
        <v>50</v>
      </c>
      <c r="BN13" t="str">
        <f t="shared" si="3"/>
        <v>AX</v>
      </c>
    </row>
    <row r="14" spans="1:66" x14ac:dyDescent="0.3">
      <c r="E14" s="1"/>
      <c r="I14" s="1"/>
      <c r="M14" s="1"/>
      <c r="Q14" s="1"/>
      <c r="U14" s="1"/>
      <c r="W14" s="11"/>
      <c r="Y14" s="1"/>
      <c r="AC14" s="1"/>
      <c r="AG14" s="1"/>
      <c r="AK14" s="1"/>
      <c r="AO14" s="1"/>
      <c r="AS14" s="1"/>
      <c r="AV14" s="17"/>
      <c r="AW14" s="18"/>
      <c r="AX14" s="18"/>
      <c r="AY14" s="19"/>
      <c r="AZ14" s="17"/>
      <c r="BA14" s="18"/>
      <c r="BB14" s="19"/>
      <c r="BC14" s="17"/>
      <c r="BD14" s="18"/>
      <c r="BE14" s="19"/>
      <c r="BF14" s="17"/>
      <c r="BJ14">
        <f t="shared" si="1"/>
        <v>13</v>
      </c>
      <c r="BK14">
        <f t="shared" si="16"/>
        <v>51</v>
      </c>
      <c r="BL14" t="str">
        <f t="shared" si="0"/>
        <v>AY</v>
      </c>
      <c r="BM14">
        <f t="shared" si="2"/>
        <v>54</v>
      </c>
      <c r="BN14" t="str">
        <f t="shared" si="3"/>
        <v>BB</v>
      </c>
    </row>
    <row r="15" spans="1:66" x14ac:dyDescent="0.3">
      <c r="E15" s="1"/>
      <c r="I15" s="1"/>
      <c r="M15" s="1"/>
      <c r="Q15" s="1"/>
      <c r="U15" s="1"/>
      <c r="W15" s="11"/>
      <c r="Y15" s="1"/>
      <c r="AC15" s="1"/>
      <c r="AG15" s="1"/>
      <c r="AK15" s="1"/>
      <c r="AO15" s="1"/>
      <c r="AS15" s="1"/>
      <c r="AV15" s="17"/>
      <c r="AW15" s="18"/>
      <c r="AX15" s="18"/>
      <c r="AY15" s="19"/>
      <c r="AZ15" s="17"/>
      <c r="BA15" s="18"/>
      <c r="BB15" s="19"/>
      <c r="BC15" s="17"/>
      <c r="BD15" s="18"/>
      <c r="BE15" s="19"/>
      <c r="BF15" s="17"/>
      <c r="BJ15">
        <f t="shared" si="1"/>
        <v>14</v>
      </c>
      <c r="BK15">
        <f t="shared" si="16"/>
        <v>55</v>
      </c>
      <c r="BL15" t="str">
        <f t="shared" si="0"/>
        <v>BC</v>
      </c>
      <c r="BM15">
        <f t="shared" si="2"/>
        <v>58</v>
      </c>
      <c r="BN15" t="str">
        <f t="shared" si="3"/>
        <v>BF</v>
      </c>
    </row>
    <row r="16" spans="1:66" x14ac:dyDescent="0.3">
      <c r="E16" s="1"/>
      <c r="I16" s="1"/>
      <c r="M16" s="1"/>
      <c r="Q16" s="1"/>
      <c r="U16" s="1"/>
      <c r="W16" s="11"/>
      <c r="Y16" s="1"/>
      <c r="AC16" s="1"/>
      <c r="AG16" s="1"/>
      <c r="AK16" s="1"/>
      <c r="AO16" s="1"/>
      <c r="AS16" s="1"/>
      <c r="AV16" s="17"/>
      <c r="AW16" s="18"/>
      <c r="AX16" s="18"/>
      <c r="AY16" s="19"/>
      <c r="AZ16" s="17"/>
      <c r="BA16" s="18"/>
      <c r="BB16" s="19"/>
      <c r="BC16" s="17"/>
      <c r="BD16" s="18"/>
      <c r="BE16" s="19"/>
      <c r="BF16" s="17"/>
      <c r="BJ16">
        <f t="shared" si="1"/>
        <v>15</v>
      </c>
      <c r="BK16">
        <f t="shared" si="16"/>
        <v>59</v>
      </c>
      <c r="BL16" t="str">
        <f t="shared" si="0"/>
        <v>BG</v>
      </c>
      <c r="BM16">
        <f t="shared" si="2"/>
        <v>62</v>
      </c>
      <c r="BN16" t="str">
        <f t="shared" si="3"/>
        <v>BJ</v>
      </c>
    </row>
    <row r="17" spans="5:66" x14ac:dyDescent="0.3">
      <c r="E17" s="1"/>
      <c r="I17" s="1"/>
      <c r="M17" s="1"/>
      <c r="Q17" s="1"/>
      <c r="U17" s="1"/>
      <c r="W17" s="11"/>
      <c r="Y17" s="1"/>
      <c r="AC17" s="1"/>
      <c r="AG17" s="1"/>
      <c r="AK17" s="1"/>
      <c r="AO17" s="1"/>
      <c r="AS17" s="1"/>
      <c r="AV17" s="17"/>
      <c r="AW17" s="18"/>
      <c r="AX17" s="18"/>
      <c r="AY17" s="19"/>
      <c r="AZ17" s="17"/>
      <c r="BA17" s="18"/>
      <c r="BB17" s="19"/>
      <c r="BC17" s="17"/>
      <c r="BD17" s="18"/>
      <c r="BE17" s="19"/>
      <c r="BF17" s="17"/>
      <c r="BJ17">
        <f t="shared" si="1"/>
        <v>16</v>
      </c>
      <c r="BK17">
        <f t="shared" si="16"/>
        <v>63</v>
      </c>
      <c r="BL17" t="str">
        <f t="shared" si="0"/>
        <v>BK</v>
      </c>
      <c r="BM17">
        <f t="shared" si="2"/>
        <v>66</v>
      </c>
      <c r="BN17" t="str">
        <f t="shared" si="3"/>
        <v>BN</v>
      </c>
    </row>
    <row r="18" spans="5:66" x14ac:dyDescent="0.3">
      <c r="E18" s="1"/>
      <c r="I18" s="1"/>
      <c r="M18" s="1"/>
      <c r="Q18" s="1"/>
      <c r="U18" s="1"/>
      <c r="W18" s="11"/>
      <c r="Y18" s="1"/>
      <c r="AC18" s="1"/>
      <c r="AG18" s="1"/>
      <c r="AK18" s="1"/>
      <c r="AO18" s="1"/>
      <c r="AS18" s="1"/>
      <c r="AV18" s="17"/>
      <c r="AW18" s="18"/>
      <c r="AX18" s="18"/>
      <c r="AY18" s="19"/>
      <c r="AZ18" s="17"/>
      <c r="BA18" s="18"/>
      <c r="BB18" s="19"/>
      <c r="BC18" s="17"/>
      <c r="BD18" s="18"/>
      <c r="BE18" s="19"/>
      <c r="BF18" s="17"/>
      <c r="BJ18">
        <f t="shared" si="1"/>
        <v>17</v>
      </c>
      <c r="BK18">
        <f t="shared" si="16"/>
        <v>67</v>
      </c>
      <c r="BL18" t="str">
        <f t="shared" si="0"/>
        <v>BO</v>
      </c>
      <c r="BM18">
        <f t="shared" si="2"/>
        <v>70</v>
      </c>
      <c r="BN18" t="str">
        <f t="shared" si="3"/>
        <v>BR</v>
      </c>
    </row>
    <row r="19" spans="5:66" x14ac:dyDescent="0.3">
      <c r="E19" s="1"/>
      <c r="I19" s="1"/>
      <c r="M19" s="1"/>
      <c r="Q19" s="1"/>
      <c r="U19" s="1"/>
      <c r="W19" s="11"/>
      <c r="Y19" s="1"/>
      <c r="AC19" s="1"/>
      <c r="AG19" s="1"/>
      <c r="AK19" s="1"/>
      <c r="AO19" s="1"/>
      <c r="AS19" s="1"/>
      <c r="AV19" s="17"/>
      <c r="AW19" s="18"/>
      <c r="AX19" s="18"/>
      <c r="AY19" s="19"/>
      <c r="AZ19" s="17"/>
      <c r="BA19" s="18"/>
      <c r="BB19" s="19"/>
      <c r="BC19" s="17"/>
      <c r="BD19" s="18"/>
      <c r="BE19" s="19"/>
      <c r="BF19" s="17"/>
      <c r="BJ19">
        <f t="shared" si="1"/>
        <v>18</v>
      </c>
      <c r="BK19">
        <f t="shared" si="16"/>
        <v>71</v>
      </c>
      <c r="BL19" t="str">
        <f t="shared" si="0"/>
        <v>BS</v>
      </c>
      <c r="BM19">
        <f t="shared" si="2"/>
        <v>74</v>
      </c>
      <c r="BN19" t="str">
        <f t="shared" si="3"/>
        <v>BV</v>
      </c>
    </row>
    <row r="20" spans="5:66" x14ac:dyDescent="0.3">
      <c r="E20" s="1"/>
      <c r="I20" s="1"/>
      <c r="M20" s="1"/>
      <c r="Q20" s="1"/>
      <c r="U20" s="1"/>
      <c r="W20" s="11"/>
      <c r="Y20" s="1"/>
      <c r="AC20" s="1"/>
      <c r="AG20" s="1"/>
      <c r="AK20" s="1"/>
      <c r="AO20" s="1"/>
      <c r="AS20" s="1"/>
      <c r="AV20" s="17"/>
      <c r="AW20" s="18"/>
      <c r="AX20" s="18"/>
      <c r="AY20" s="19"/>
      <c r="AZ20" s="17"/>
      <c r="BA20" s="18"/>
      <c r="BB20" s="19"/>
      <c r="BC20" s="17"/>
      <c r="BD20" s="18"/>
      <c r="BE20" s="19"/>
      <c r="BF20" s="17"/>
      <c r="BJ20">
        <f t="shared" si="1"/>
        <v>19</v>
      </c>
      <c r="BK20">
        <f t="shared" si="16"/>
        <v>75</v>
      </c>
      <c r="BL20" t="str">
        <f t="shared" si="0"/>
        <v>BW</v>
      </c>
      <c r="BM20">
        <f t="shared" si="2"/>
        <v>78</v>
      </c>
      <c r="BN20" t="str">
        <f t="shared" si="3"/>
        <v>BZ</v>
      </c>
    </row>
    <row r="21" spans="5:66" x14ac:dyDescent="0.3">
      <c r="E21" s="1"/>
      <c r="I21" s="1"/>
      <c r="M21" s="1"/>
      <c r="Q21" s="1"/>
      <c r="U21" s="1"/>
      <c r="W21" s="11"/>
      <c r="Y21" s="1"/>
      <c r="AC21" s="1"/>
      <c r="AG21" s="1"/>
      <c r="AK21" s="1"/>
      <c r="AO21" s="1"/>
      <c r="AS21" s="1"/>
      <c r="AV21" s="17"/>
      <c r="AW21" s="18"/>
      <c r="AX21" s="18"/>
      <c r="AY21" s="19"/>
      <c r="AZ21" s="17"/>
      <c r="BA21" s="18"/>
      <c r="BB21" s="19"/>
      <c r="BC21" s="17"/>
      <c r="BD21" s="18"/>
      <c r="BE21" s="19"/>
      <c r="BF21" s="17"/>
      <c r="BJ21">
        <f t="shared" si="1"/>
        <v>20</v>
      </c>
      <c r="BK21">
        <f t="shared" si="16"/>
        <v>79</v>
      </c>
      <c r="BL21" t="str">
        <f t="shared" si="0"/>
        <v>CA</v>
      </c>
      <c r="BM21">
        <f t="shared" si="2"/>
        <v>82</v>
      </c>
      <c r="BN21" t="str">
        <f t="shared" si="3"/>
        <v>CD</v>
      </c>
    </row>
    <row r="22" spans="5:66" x14ac:dyDescent="0.3">
      <c r="E22" s="1"/>
      <c r="I22" s="1"/>
      <c r="M22" s="1"/>
      <c r="Q22" s="1"/>
      <c r="U22" s="1"/>
      <c r="W22" s="11"/>
      <c r="Y22" s="1"/>
      <c r="AC22" s="1"/>
      <c r="AG22" s="1"/>
      <c r="AK22" s="1"/>
      <c r="AO22" s="1"/>
      <c r="AS22" s="1"/>
      <c r="AV22" s="17"/>
      <c r="AW22" s="18"/>
      <c r="AX22" s="18"/>
      <c r="AY22" s="19"/>
      <c r="AZ22" s="17"/>
      <c r="BA22" s="18"/>
      <c r="BB22" s="19"/>
      <c r="BC22" s="17"/>
      <c r="BD22" s="18"/>
      <c r="BE22" s="19"/>
      <c r="BF22" s="17"/>
      <c r="BJ22">
        <f t="shared" si="1"/>
        <v>21</v>
      </c>
      <c r="BK22">
        <f t="shared" si="16"/>
        <v>83</v>
      </c>
      <c r="BL22" t="str">
        <f t="shared" si="0"/>
        <v>CE</v>
      </c>
      <c r="BM22">
        <f t="shared" si="2"/>
        <v>86</v>
      </c>
      <c r="BN22" t="str">
        <f t="shared" si="3"/>
        <v>CH</v>
      </c>
    </row>
    <row r="23" spans="5:66" x14ac:dyDescent="0.3">
      <c r="E23" s="1"/>
      <c r="I23" s="1"/>
      <c r="M23" s="1"/>
      <c r="Q23" s="1"/>
      <c r="U23" s="1"/>
      <c r="W23" s="11"/>
      <c r="Y23" s="1"/>
      <c r="AC23" s="1"/>
      <c r="AG23" s="1"/>
      <c r="AK23" s="1"/>
      <c r="AO23" s="1"/>
      <c r="AS23" s="1"/>
      <c r="AV23" s="17"/>
      <c r="AW23" s="18"/>
      <c r="AX23" s="18"/>
      <c r="AY23" s="19"/>
      <c r="AZ23" s="17"/>
      <c r="BA23" s="18"/>
      <c r="BB23" s="19"/>
      <c r="BC23" s="17"/>
      <c r="BD23" s="18"/>
      <c r="BE23" s="19"/>
      <c r="BF23" s="17"/>
      <c r="BJ23">
        <f t="shared" si="1"/>
        <v>22</v>
      </c>
      <c r="BK23">
        <f t="shared" si="16"/>
        <v>87</v>
      </c>
      <c r="BL23" t="str">
        <f t="shared" si="0"/>
        <v>CI</v>
      </c>
      <c r="BM23">
        <f t="shared" si="2"/>
        <v>90</v>
      </c>
      <c r="BN23" t="str">
        <f t="shared" si="3"/>
        <v>CL</v>
      </c>
    </row>
    <row r="24" spans="5:66" x14ac:dyDescent="0.3">
      <c r="E24" s="1"/>
      <c r="I24" s="1"/>
      <c r="M24" s="1"/>
      <c r="Q24" s="1"/>
      <c r="U24" s="1"/>
      <c r="W24" s="11"/>
      <c r="Y24" s="1"/>
      <c r="AC24" s="1"/>
      <c r="AG24" s="1"/>
      <c r="AK24" s="1"/>
      <c r="AO24" s="1"/>
      <c r="AS24" s="1"/>
      <c r="AV24" s="17"/>
      <c r="AW24" s="18"/>
      <c r="AX24" s="18"/>
      <c r="AY24" s="19"/>
      <c r="AZ24" s="17"/>
      <c r="BA24" s="18"/>
      <c r="BB24" s="19"/>
      <c r="BC24" s="17"/>
      <c r="BD24" s="18"/>
      <c r="BE24" s="19"/>
      <c r="BF24" s="17"/>
      <c r="BJ24">
        <f t="shared" si="1"/>
        <v>23</v>
      </c>
      <c r="BK24">
        <f t="shared" si="16"/>
        <v>91</v>
      </c>
      <c r="BL24" t="str">
        <f t="shared" si="0"/>
        <v>CM</v>
      </c>
      <c r="BM24">
        <f t="shared" si="2"/>
        <v>94</v>
      </c>
      <c r="BN24" t="str">
        <f t="shared" si="3"/>
        <v>CP</v>
      </c>
    </row>
    <row r="25" spans="5:66" x14ac:dyDescent="0.3">
      <c r="E25" s="1"/>
      <c r="I25" s="1"/>
      <c r="M25" s="1"/>
      <c r="Q25" s="1"/>
      <c r="U25" s="1"/>
      <c r="W25" s="11"/>
      <c r="Y25" s="1"/>
      <c r="AC25" s="1"/>
      <c r="AG25" s="1"/>
      <c r="AK25" s="1"/>
      <c r="AO25" s="1"/>
      <c r="AS25" s="1"/>
      <c r="AV25" s="17"/>
      <c r="AW25" s="18"/>
      <c r="AX25" s="18"/>
      <c r="AY25" s="19"/>
      <c r="AZ25" s="17"/>
      <c r="BA25" s="18"/>
      <c r="BB25" s="19"/>
      <c r="BC25" s="17"/>
      <c r="BD25" s="18"/>
      <c r="BE25" s="19"/>
      <c r="BF25" s="17"/>
      <c r="BJ25">
        <f t="shared" si="1"/>
        <v>24</v>
      </c>
      <c r="BK25">
        <f t="shared" si="16"/>
        <v>95</v>
      </c>
      <c r="BL25" t="str">
        <f t="shared" si="0"/>
        <v>CQ</v>
      </c>
      <c r="BM25">
        <f t="shared" si="2"/>
        <v>98</v>
      </c>
      <c r="BN25" t="str">
        <f t="shared" si="3"/>
        <v>CT</v>
      </c>
    </row>
    <row r="26" spans="5:66" x14ac:dyDescent="0.3">
      <c r="E26" s="1"/>
      <c r="I26" s="1"/>
      <c r="M26" s="1"/>
      <c r="Q26" s="1"/>
      <c r="U26" s="1"/>
      <c r="W26" s="11"/>
      <c r="Y26" s="1"/>
      <c r="AC26" s="1"/>
      <c r="AG26" s="1"/>
      <c r="AK26" s="1"/>
      <c r="AO26" s="1"/>
      <c r="AS26" s="1"/>
      <c r="AV26" s="17"/>
      <c r="AW26" s="18"/>
      <c r="AX26" s="18"/>
      <c r="AY26" s="19"/>
      <c r="AZ26" s="17"/>
      <c r="BA26" s="18"/>
      <c r="BB26" s="19"/>
      <c r="BC26" s="17"/>
      <c r="BD26" s="18"/>
      <c r="BE26" s="19"/>
      <c r="BF26" s="17"/>
      <c r="BJ26">
        <f t="shared" si="1"/>
        <v>25</v>
      </c>
      <c r="BK26">
        <f t="shared" si="16"/>
        <v>99</v>
      </c>
      <c r="BL26" t="str">
        <f t="shared" si="0"/>
        <v>CU</v>
      </c>
      <c r="BM26">
        <f t="shared" si="2"/>
        <v>102</v>
      </c>
      <c r="BN26" t="str">
        <f t="shared" si="3"/>
        <v>CX</v>
      </c>
    </row>
    <row r="27" spans="5:66" x14ac:dyDescent="0.3">
      <c r="E27" s="1"/>
      <c r="I27" s="1"/>
      <c r="M27" s="1"/>
      <c r="Q27" s="1"/>
      <c r="U27" s="1"/>
      <c r="W27" s="11"/>
      <c r="Y27" s="1"/>
      <c r="AC27" s="1"/>
      <c r="AG27" s="1"/>
      <c r="AK27" s="1"/>
      <c r="AO27" s="1"/>
      <c r="AS27" s="1"/>
      <c r="AV27" s="17"/>
      <c r="AW27" s="18"/>
      <c r="AX27" s="18"/>
      <c r="AY27" s="19"/>
      <c r="AZ27" s="17"/>
      <c r="BA27" s="18"/>
      <c r="BB27" s="19"/>
      <c r="BC27" s="17"/>
      <c r="BD27" s="18"/>
      <c r="BE27" s="19"/>
      <c r="BF27" s="17"/>
      <c r="BJ27">
        <f t="shared" si="1"/>
        <v>26</v>
      </c>
      <c r="BK27">
        <f t="shared" si="16"/>
        <v>103</v>
      </c>
      <c r="BL27" t="str">
        <f t="shared" si="0"/>
        <v>CY</v>
      </c>
      <c r="BM27">
        <f t="shared" si="2"/>
        <v>106</v>
      </c>
      <c r="BN27" t="str">
        <f t="shared" si="3"/>
        <v>DB</v>
      </c>
    </row>
    <row r="28" spans="5:66" x14ac:dyDescent="0.3">
      <c r="E28" s="1"/>
      <c r="I28" s="1"/>
      <c r="M28" s="1"/>
      <c r="Q28" s="1"/>
      <c r="U28" s="1"/>
      <c r="W28" s="11"/>
      <c r="Y28" s="1"/>
      <c r="AC28" s="1"/>
      <c r="AG28" s="1"/>
      <c r="AK28" s="1"/>
      <c r="AO28" s="1"/>
      <c r="AS28" s="1"/>
      <c r="AV28" s="17"/>
      <c r="AW28" s="18"/>
      <c r="AX28" s="18"/>
      <c r="AY28" s="19"/>
      <c r="AZ28" s="17"/>
      <c r="BA28" s="18"/>
      <c r="BB28" s="19"/>
      <c r="BC28" s="17"/>
      <c r="BD28" s="18"/>
      <c r="BE28" s="19"/>
      <c r="BF28" s="17"/>
      <c r="BJ28">
        <f t="shared" si="1"/>
        <v>27</v>
      </c>
      <c r="BK28">
        <f t="shared" si="16"/>
        <v>107</v>
      </c>
      <c r="BL28" t="str">
        <f t="shared" si="0"/>
        <v>DC</v>
      </c>
      <c r="BM28">
        <f t="shared" si="2"/>
        <v>110</v>
      </c>
      <c r="BN28" t="str">
        <f t="shared" si="3"/>
        <v>DF</v>
      </c>
    </row>
    <row r="29" spans="5:66" x14ac:dyDescent="0.3">
      <c r="E29" s="1"/>
      <c r="I29" s="1"/>
      <c r="M29" s="1"/>
      <c r="Q29" s="1"/>
      <c r="U29" s="1"/>
      <c r="W29" s="11"/>
      <c r="Y29" s="1"/>
      <c r="AC29" s="1"/>
      <c r="AG29" s="1"/>
      <c r="AK29" s="1"/>
      <c r="AO29" s="1"/>
      <c r="AS29" s="1"/>
      <c r="AV29" s="17"/>
      <c r="AW29" s="18"/>
      <c r="AX29" s="18"/>
      <c r="AY29" s="19"/>
      <c r="AZ29" s="17"/>
      <c r="BA29" s="18"/>
      <c r="BB29" s="19"/>
      <c r="BC29" s="17"/>
      <c r="BD29" s="18"/>
      <c r="BE29" s="19"/>
      <c r="BF29" s="17"/>
      <c r="BJ29">
        <f t="shared" si="1"/>
        <v>28</v>
      </c>
      <c r="BK29">
        <f t="shared" si="16"/>
        <v>111</v>
      </c>
      <c r="BL29" t="str">
        <f t="shared" si="0"/>
        <v>DG</v>
      </c>
      <c r="BM29">
        <f t="shared" si="2"/>
        <v>114</v>
      </c>
      <c r="BN29" t="str">
        <f t="shared" si="3"/>
        <v>DJ</v>
      </c>
    </row>
    <row r="30" spans="5:66" x14ac:dyDescent="0.3">
      <c r="E30" s="1"/>
      <c r="I30" s="1"/>
      <c r="M30" s="1"/>
      <c r="Q30" s="1"/>
      <c r="U30" s="1"/>
      <c r="W30" s="11"/>
      <c r="Y30" s="1"/>
      <c r="AC30" s="1"/>
      <c r="AG30" s="1"/>
      <c r="AK30" s="1"/>
      <c r="AO30" s="1"/>
      <c r="AS30" s="1"/>
      <c r="AV30" s="17"/>
      <c r="AW30" s="18"/>
      <c r="AX30" s="18"/>
      <c r="AY30" s="19"/>
      <c r="AZ30" s="17"/>
      <c r="BA30" s="18"/>
      <c r="BB30" s="19"/>
      <c r="BC30" s="17"/>
      <c r="BD30" s="18"/>
      <c r="BE30" s="19"/>
      <c r="BF30" s="17"/>
      <c r="BJ30">
        <f t="shared" si="1"/>
        <v>29</v>
      </c>
      <c r="BK30">
        <f t="shared" si="16"/>
        <v>115</v>
      </c>
      <c r="BL30" t="str">
        <f t="shared" si="0"/>
        <v>DK</v>
      </c>
      <c r="BM30">
        <f t="shared" si="2"/>
        <v>118</v>
      </c>
      <c r="BN30" t="str">
        <f t="shared" si="3"/>
        <v>DN</v>
      </c>
    </row>
    <row r="31" spans="5:66" x14ac:dyDescent="0.3">
      <c r="E31" s="1"/>
      <c r="I31" s="1"/>
      <c r="M31" s="1"/>
      <c r="Q31" s="1"/>
      <c r="U31" s="1"/>
      <c r="W31" s="11"/>
      <c r="Y31" s="1"/>
      <c r="AC31" s="1"/>
      <c r="AG31" s="1"/>
      <c r="AK31" s="1"/>
      <c r="AO31" s="1"/>
      <c r="AS31" s="1"/>
      <c r="AV31" s="17"/>
      <c r="AW31" s="18"/>
      <c r="AX31" s="18"/>
      <c r="AY31" s="19"/>
      <c r="AZ31" s="17"/>
      <c r="BA31" s="18"/>
      <c r="BB31" s="19"/>
      <c r="BC31" s="17"/>
      <c r="BD31" s="18"/>
      <c r="BE31" s="19"/>
      <c r="BF31" s="17"/>
      <c r="BJ31">
        <f t="shared" si="1"/>
        <v>30</v>
      </c>
      <c r="BK31">
        <f t="shared" si="16"/>
        <v>119</v>
      </c>
      <c r="BL31" t="str">
        <f t="shared" si="0"/>
        <v>DO</v>
      </c>
      <c r="BM31">
        <f t="shared" si="2"/>
        <v>122</v>
      </c>
      <c r="BN31" t="str">
        <f t="shared" si="3"/>
        <v>DR</v>
      </c>
    </row>
    <row r="32" spans="5:66" x14ac:dyDescent="0.3">
      <c r="E32" s="1"/>
      <c r="I32" s="1"/>
      <c r="M32" s="1"/>
      <c r="Q32" s="1"/>
      <c r="U32" s="1"/>
      <c r="W32" s="11"/>
      <c r="Y32" s="1"/>
      <c r="AC32" s="1"/>
      <c r="AG32" s="1"/>
      <c r="AK32" s="1"/>
      <c r="AO32" s="1"/>
      <c r="AS32" s="1"/>
      <c r="AV32" s="17"/>
      <c r="AW32" s="18"/>
      <c r="AX32" s="18"/>
      <c r="AY32" s="19"/>
      <c r="AZ32" s="17"/>
      <c r="BA32" s="18"/>
      <c r="BB32" s="19"/>
      <c r="BC32" s="17"/>
      <c r="BD32" s="18"/>
      <c r="BE32" s="19"/>
      <c r="BF32" s="17"/>
      <c r="BJ32">
        <f t="shared" si="1"/>
        <v>31</v>
      </c>
      <c r="BK32">
        <f t="shared" si="16"/>
        <v>123</v>
      </c>
      <c r="BL32" t="str">
        <f t="shared" si="0"/>
        <v>DS</v>
      </c>
      <c r="BM32">
        <f t="shared" si="2"/>
        <v>126</v>
      </c>
      <c r="BN32" t="str">
        <f t="shared" si="3"/>
        <v>DV</v>
      </c>
    </row>
    <row r="33" spans="5:66" x14ac:dyDescent="0.3">
      <c r="E33" s="1"/>
      <c r="I33" s="1"/>
      <c r="M33" s="1"/>
      <c r="Q33" s="1"/>
      <c r="U33" s="1"/>
      <c r="W33" s="11"/>
      <c r="Y33" s="1"/>
      <c r="AC33" s="1"/>
      <c r="AG33" s="1"/>
      <c r="AK33" s="1"/>
      <c r="AO33" s="1"/>
      <c r="AS33" s="1"/>
      <c r="AV33" s="17"/>
      <c r="AW33" s="18"/>
      <c r="AX33" s="18"/>
      <c r="AY33" s="19"/>
      <c r="AZ33" s="17"/>
      <c r="BA33" s="18"/>
      <c r="BB33" s="19"/>
      <c r="BC33" s="17"/>
      <c r="BD33" s="18"/>
      <c r="BE33" s="19"/>
      <c r="BF33" s="17"/>
      <c r="BJ33">
        <f t="shared" si="1"/>
        <v>32</v>
      </c>
      <c r="BK33">
        <f t="shared" si="16"/>
        <v>127</v>
      </c>
      <c r="BL33" t="str">
        <f t="shared" si="0"/>
        <v>DW</v>
      </c>
      <c r="BM33">
        <f t="shared" si="2"/>
        <v>130</v>
      </c>
      <c r="BN33" t="str">
        <f t="shared" si="3"/>
        <v>DZ</v>
      </c>
    </row>
    <row r="34" spans="5:66" x14ac:dyDescent="0.3">
      <c r="E34" s="1"/>
      <c r="I34" s="1"/>
      <c r="M34" s="1"/>
      <c r="Q34" s="1"/>
      <c r="U34" s="1"/>
      <c r="W34" s="11"/>
      <c r="Y34" s="1"/>
      <c r="AC34" s="1"/>
      <c r="AG34" s="1"/>
      <c r="AK34" s="1"/>
      <c r="AO34" s="1"/>
      <c r="AS34" s="1"/>
      <c r="AV34" s="17"/>
      <c r="AW34" s="18"/>
      <c r="AX34" s="18"/>
      <c r="AY34" s="19"/>
      <c r="AZ34" s="17"/>
      <c r="BA34" s="18"/>
      <c r="BB34" s="19"/>
      <c r="BC34" s="17"/>
      <c r="BD34" s="18"/>
      <c r="BE34" s="19"/>
      <c r="BF34" s="17"/>
      <c r="BJ34">
        <f t="shared" si="1"/>
        <v>33</v>
      </c>
      <c r="BK34">
        <f t="shared" si="16"/>
        <v>131</v>
      </c>
      <c r="BL34" t="str">
        <f t="shared" si="0"/>
        <v>EA</v>
      </c>
      <c r="BM34">
        <f t="shared" si="2"/>
        <v>134</v>
      </c>
      <c r="BN34" t="str">
        <f t="shared" si="3"/>
        <v>ED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5DC0-D44E-466A-BECD-6E436881384E}">
  <sheetPr codeName="Sheet5"/>
  <dimension ref="A1:AS905"/>
  <sheetViews>
    <sheetView zoomScaleNormal="100" workbookViewId="0">
      <selection activeCell="V11" sqref="V11"/>
    </sheetView>
  </sheetViews>
  <sheetFormatPr defaultRowHeight="14.4" x14ac:dyDescent="0.3"/>
  <cols>
    <col min="18" max="18" width="9.5546875" bestFit="1" customWidth="1"/>
    <col min="19" max="19" width="9.5546875" customWidth="1"/>
    <col min="21" max="21" width="9.5546875" bestFit="1" customWidth="1"/>
    <col min="22" max="22" width="15.21875" customWidth="1"/>
    <col min="23" max="23" width="20.21875" customWidth="1"/>
    <col min="26" max="26" width="11" customWidth="1"/>
    <col min="27" max="29" width="9.77734375" customWidth="1"/>
    <col min="30" max="30" width="10.77734375" customWidth="1"/>
    <col min="31" max="31" width="8.77734375" customWidth="1"/>
    <col min="33" max="33" width="11.77734375" bestFit="1" customWidth="1"/>
    <col min="35" max="35" width="9.77734375" bestFit="1" customWidth="1"/>
    <col min="38" max="38" width="9.44140625" bestFit="1" customWidth="1"/>
    <col min="39" max="39" width="9.77734375" customWidth="1"/>
    <col min="40" max="40" width="12" bestFit="1" customWidth="1"/>
  </cols>
  <sheetData>
    <row r="1" spans="1:41" x14ac:dyDescent="0.3">
      <c r="A1">
        <v>1495604.33</v>
      </c>
      <c r="B1">
        <v>9782809.7699999996</v>
      </c>
      <c r="C1">
        <v>-3956.68</v>
      </c>
      <c r="D1">
        <v>0</v>
      </c>
      <c r="R1" s="4"/>
      <c r="S1" s="4"/>
      <c r="T1" s="5" t="s">
        <v>59</v>
      </c>
      <c r="U1" s="4"/>
      <c r="V1" s="4">
        <v>1</v>
      </c>
      <c r="W1" s="4" t="s">
        <v>39</v>
      </c>
      <c r="X1" s="4">
        <v>0.30480000000000002</v>
      </c>
      <c r="Y1" s="4" t="s">
        <v>40</v>
      </c>
    </row>
    <row r="2" spans="1:41" ht="11.1" customHeight="1" x14ac:dyDescent="0.3">
      <c r="A2">
        <v>1495607.0741580999</v>
      </c>
      <c r="B2">
        <v>9782808.5577309206</v>
      </c>
      <c r="C2">
        <v>-3956.68</v>
      </c>
      <c r="D2">
        <v>3</v>
      </c>
      <c r="I2" s="15"/>
      <c r="J2" s="15"/>
      <c r="K2" s="15"/>
      <c r="L2" s="15"/>
      <c r="R2" s="4"/>
      <c r="S2" s="4" t="s">
        <v>242</v>
      </c>
      <c r="T2" s="6" t="s">
        <v>16</v>
      </c>
      <c r="U2" s="6" t="s">
        <v>17</v>
      </c>
      <c r="V2" s="6" t="s">
        <v>18</v>
      </c>
      <c r="W2" s="6" t="s">
        <v>19</v>
      </c>
      <c r="X2" s="6" t="s">
        <v>20</v>
      </c>
      <c r="Y2" s="6" t="s">
        <v>21</v>
      </c>
      <c r="Z2" s="6" t="s">
        <v>197</v>
      </c>
      <c r="AA2" s="6" t="s">
        <v>199</v>
      </c>
      <c r="AB2" s="6" t="s">
        <v>200</v>
      </c>
      <c r="AC2" s="6" t="s">
        <v>201</v>
      </c>
      <c r="AD2" s="6" t="s">
        <v>202</v>
      </c>
      <c r="AE2" s="6" t="s">
        <v>203</v>
      </c>
      <c r="AF2" s="6" t="s">
        <v>204</v>
      </c>
      <c r="AG2" s="6" t="s">
        <v>204</v>
      </c>
      <c r="AH2" s="8" t="s">
        <v>36</v>
      </c>
      <c r="AI2" s="8" t="s">
        <v>37</v>
      </c>
      <c r="AJ2" s="8" t="s">
        <v>20</v>
      </c>
      <c r="AK2" s="8" t="s">
        <v>21</v>
      </c>
      <c r="AL2" s="8" t="s">
        <v>41</v>
      </c>
      <c r="AM2" s="8" t="s">
        <v>42</v>
      </c>
      <c r="AN2" s="8" t="s">
        <v>45</v>
      </c>
    </row>
    <row r="3" spans="1:41" x14ac:dyDescent="0.3">
      <c r="A3">
        <v>1495609.8183162</v>
      </c>
      <c r="B3">
        <v>9782807.3454618305</v>
      </c>
      <c r="C3">
        <v>-3956.69</v>
      </c>
      <c r="D3">
        <v>6</v>
      </c>
      <c r="J3" s="48"/>
      <c r="L3" s="48" t="s">
        <v>50</v>
      </c>
      <c r="M3" s="48" t="s">
        <v>244</v>
      </c>
      <c r="N3" s="48" t="s">
        <v>245</v>
      </c>
      <c r="R3" s="4"/>
      <c r="S3" s="4"/>
      <c r="T3" s="6"/>
      <c r="U3" s="6"/>
      <c r="V3" s="6"/>
      <c r="W3" s="6"/>
      <c r="X3" s="6" t="s">
        <v>22</v>
      </c>
      <c r="Y3" s="6" t="s">
        <v>35</v>
      </c>
      <c r="Z3" s="6" t="s">
        <v>198</v>
      </c>
      <c r="AA3" s="6" t="s">
        <v>198</v>
      </c>
      <c r="AB3" s="6" t="s">
        <v>35</v>
      </c>
      <c r="AC3" s="6" t="s">
        <v>35</v>
      </c>
      <c r="AD3" s="6" t="s">
        <v>35</v>
      </c>
      <c r="AE3" s="6" t="s">
        <v>35</v>
      </c>
      <c r="AF3" s="6" t="s">
        <v>35</v>
      </c>
      <c r="AG3" s="6" t="s">
        <v>38</v>
      </c>
      <c r="AH3" s="8"/>
      <c r="AI3" s="8"/>
      <c r="AJ3" s="8" t="s">
        <v>22</v>
      </c>
      <c r="AK3" s="8" t="s">
        <v>38</v>
      </c>
    </row>
    <row r="4" spans="1:41" x14ac:dyDescent="0.3">
      <c r="A4">
        <v>1495612.5624742899</v>
      </c>
      <c r="B4">
        <v>9782806.1331927404</v>
      </c>
      <c r="C4">
        <v>-3956.7</v>
      </c>
      <c r="D4">
        <v>9</v>
      </c>
      <c r="J4" s="48" t="s">
        <v>189</v>
      </c>
      <c r="K4" s="2">
        <f>L4/3.281</f>
        <v>1090.1301432490095</v>
      </c>
      <c r="L4" s="48">
        <f>2976.717+600</f>
        <v>3576.7170000000001</v>
      </c>
      <c r="M4" s="48">
        <v>1498336</v>
      </c>
      <c r="N4" s="48">
        <v>9781678</v>
      </c>
      <c r="R4" s="6" t="s">
        <v>52</v>
      </c>
      <c r="S4" s="4">
        <f>U4/3.281</f>
        <v>0</v>
      </c>
      <c r="T4" s="6" t="s">
        <v>23</v>
      </c>
      <c r="U4" s="4">
        <v>0</v>
      </c>
      <c r="V4" s="7">
        <f>V58</f>
        <v>1495604.33</v>
      </c>
      <c r="W4" s="7">
        <f>W58</f>
        <v>9782809.7699999996</v>
      </c>
      <c r="X4" s="4"/>
      <c r="Y4" s="4"/>
      <c r="Z4" s="4">
        <f>MIN(MATCH($U4,$D$1:$D$124,1),ROWS($D$1:$D$124)-1)</f>
        <v>1</v>
      </c>
      <c r="AA4" s="4">
        <f>Z4+1</f>
        <v>2</v>
      </c>
      <c r="AB4" s="4">
        <f>INDEX($D$1:$D$124,Z4)</f>
        <v>0</v>
      </c>
      <c r="AC4" s="4">
        <f>INDEX($D$1:$D$124,AA4)</f>
        <v>3</v>
      </c>
      <c r="AD4" s="4">
        <f>INDEX($C$1:$C$124,Z4)</f>
        <v>-3956.68</v>
      </c>
      <c r="AE4" s="4">
        <f>INDEX($C$1:$C$124,AA4)</f>
        <v>-3956.68</v>
      </c>
      <c r="AF4" s="4">
        <f>FORECAST($U4,AD4:AE4,AB4:AC4)</f>
        <v>-3956.68</v>
      </c>
      <c r="AG4">
        <f>AF4*0.3048</f>
        <v>-1205.9960639999999</v>
      </c>
      <c r="AH4" s="9">
        <f>IF(V4="","",V4*0.3048)</f>
        <v>455860.19978400005</v>
      </c>
      <c r="AI4" s="9">
        <f>IF(W4="","",W4*0.3048)</f>
        <v>2981800.4178960002</v>
      </c>
      <c r="AJ4" s="9" t="str">
        <f>IF(X4="","",X4)</f>
        <v/>
      </c>
      <c r="AK4" s="9" t="str">
        <f>IF(Y4="","",Y4*0.3048)</f>
        <v/>
      </c>
      <c r="AL4">
        <f>IF(AH4="","",AH4-$AH$4)</f>
        <v>0</v>
      </c>
      <c r="AM4" s="1">
        <f>IF(AI4="","",AI4-$AI$4)</f>
        <v>0</v>
      </c>
      <c r="AN4">
        <f>IF(U4="","",U4*0.3048)</f>
        <v>0</v>
      </c>
    </row>
    <row r="5" spans="1:41" x14ac:dyDescent="0.3">
      <c r="A5">
        <v>1495615.30663239</v>
      </c>
      <c r="B5">
        <v>9782804.9209236596</v>
      </c>
      <c r="C5">
        <v>-3956.72</v>
      </c>
      <c r="D5">
        <v>12</v>
      </c>
      <c r="J5" s="49" t="s">
        <v>190</v>
      </c>
      <c r="K5">
        <f t="shared" ref="K5:K11" si="0">L5/3.281</f>
        <v>2404.648582749162</v>
      </c>
      <c r="L5" s="49">
        <v>7889.652</v>
      </c>
      <c r="M5" s="49">
        <v>1502875</v>
      </c>
      <c r="N5" s="49">
        <v>9779797</v>
      </c>
      <c r="O5">
        <f>(L5-L4)/3.281</f>
        <v>1314.5184395001522</v>
      </c>
      <c r="R5" s="4"/>
      <c r="S5" s="50">
        <f>U5/3.281</f>
        <v>901.0932642487046</v>
      </c>
      <c r="T5" s="29" t="s">
        <v>189</v>
      </c>
      <c r="U5" s="30">
        <v>2956.4870000000001</v>
      </c>
      <c r="V5" s="31">
        <v>1498308.6839999999</v>
      </c>
      <c r="W5" s="30">
        <v>9781615.0850000009</v>
      </c>
      <c r="X5" s="20"/>
      <c r="Y5" s="20"/>
      <c r="Z5" s="32"/>
      <c r="AA5" s="32"/>
      <c r="AB5" s="32"/>
      <c r="AC5" s="32"/>
      <c r="AD5" s="32"/>
      <c r="AE5" s="32"/>
      <c r="AF5" s="32"/>
      <c r="AG5" s="20"/>
      <c r="AH5" s="20">
        <f>IF(V5="","",V5*0.3048)</f>
        <v>456684.48688320001</v>
      </c>
      <c r="AI5" s="20">
        <f>IF(W5="","",W5*0.3048)</f>
        <v>2981436.2779080006</v>
      </c>
      <c r="AJ5" s="20" t="str">
        <f>IF(X5="","",X5)</f>
        <v/>
      </c>
      <c r="AK5" s="20" t="str">
        <f>IF(Y5="","",Y5*0.3048)</f>
        <v/>
      </c>
      <c r="AL5" s="20">
        <f>IF(AH5="","",AH5-$AH$4)</f>
        <v>824.28709919995163</v>
      </c>
      <c r="AM5" s="33">
        <f>IF(AI5="","",AI5-$AI$4)</f>
        <v>-364.13998799957335</v>
      </c>
      <c r="AN5" s="33">
        <f>IF(U5="","",U5*0.3048)</f>
        <v>901.13723760000005</v>
      </c>
    </row>
    <row r="6" spans="1:41" x14ac:dyDescent="0.3">
      <c r="A6">
        <v>1495618.0507904899</v>
      </c>
      <c r="B6">
        <v>9782803.7086545695</v>
      </c>
      <c r="C6">
        <v>-3956.73</v>
      </c>
      <c r="D6">
        <v>15</v>
      </c>
      <c r="J6" s="48" t="s">
        <v>191</v>
      </c>
      <c r="K6">
        <f t="shared" si="0"/>
        <v>3789.8628466930813</v>
      </c>
      <c r="L6" s="48">
        <v>12434.54</v>
      </c>
      <c r="M6" s="48">
        <v>1506805</v>
      </c>
      <c r="N6" s="48">
        <v>9777532</v>
      </c>
      <c r="O6">
        <f>(L6-L5)/3.281</f>
        <v>1385.2142639439198</v>
      </c>
      <c r="P6">
        <f>S6-S5</f>
        <v>1529.7439804937521</v>
      </c>
      <c r="R6" s="4"/>
      <c r="S6" s="4">
        <f>U6/3.281</f>
        <v>2430.8372447424567</v>
      </c>
      <c r="T6" s="29" t="s">
        <v>190</v>
      </c>
      <c r="U6" s="30">
        <v>7975.5770000000002</v>
      </c>
      <c r="V6" s="30">
        <v>1502899.7420000001</v>
      </c>
      <c r="W6" s="30">
        <v>9779586.9210000001</v>
      </c>
      <c r="X6" s="20"/>
      <c r="Y6" s="20"/>
      <c r="Z6" s="32"/>
      <c r="AA6" s="32"/>
      <c r="AB6" s="32"/>
      <c r="AC6" s="32"/>
      <c r="AD6" s="32"/>
      <c r="AE6" s="32"/>
      <c r="AF6" s="32"/>
      <c r="AG6" s="20"/>
      <c r="AH6" s="20">
        <f>IF(V6="","",V6*0.3048)</f>
        <v>458083.84136160003</v>
      </c>
      <c r="AI6" s="20">
        <f>IF(W6="","",W6*0.3048)</f>
        <v>2980818.0935208001</v>
      </c>
      <c r="AJ6" s="20" t="str">
        <f>IF(X6="","",X6)</f>
        <v/>
      </c>
      <c r="AK6" s="20" t="str">
        <f>IF(Y6="","",Y6*0.3048)</f>
        <v/>
      </c>
      <c r="AL6" s="20">
        <f>IF(AH6="","",AH6-$AH$4)</f>
        <v>2223.6415775999776</v>
      </c>
      <c r="AM6" s="33">
        <f>IF(AI6="","",AI6-$AI$4)</f>
        <v>-982.32437520008534</v>
      </c>
      <c r="AN6" s="33">
        <f>IF(U6="","",U6*0.3048)</f>
        <v>2430.9558696000004</v>
      </c>
    </row>
    <row r="7" spans="1:41" x14ac:dyDescent="0.3">
      <c r="A7">
        <v>1495620.79494859</v>
      </c>
      <c r="B7">
        <v>9782802.4963854905</v>
      </c>
      <c r="C7">
        <v>-3956.75</v>
      </c>
      <c r="D7">
        <v>18</v>
      </c>
      <c r="J7" s="48" t="s">
        <v>192</v>
      </c>
      <c r="K7">
        <f t="shared" si="0"/>
        <v>5063.5172203596467</v>
      </c>
      <c r="L7" s="48">
        <v>16613.400000000001</v>
      </c>
      <c r="M7" s="48">
        <v>1510343</v>
      </c>
      <c r="N7" s="48">
        <v>9775309</v>
      </c>
      <c r="O7">
        <f>(L7-L6)/3.281</f>
        <v>1273.6543736665651</v>
      </c>
      <c r="Q7">
        <f>R7/3.281</f>
        <v>602.14751600121906</v>
      </c>
      <c r="R7" s="7">
        <f>U7-U6</f>
        <v>1975.6459999999997</v>
      </c>
      <c r="S7" s="4">
        <f>U7/3.281</f>
        <v>3032.9847607436755</v>
      </c>
      <c r="T7" s="6" t="s">
        <v>24</v>
      </c>
      <c r="U7" s="7">
        <v>9951.223</v>
      </c>
      <c r="V7" s="7">
        <f>V59</f>
        <v>1504706.9</v>
      </c>
      <c r="W7" s="7">
        <f>W59</f>
        <v>9778788.5800000001</v>
      </c>
      <c r="X7" s="4">
        <v>113.834</v>
      </c>
      <c r="Y7" s="4"/>
      <c r="Z7" s="4"/>
      <c r="AA7" s="4"/>
      <c r="AB7" s="4"/>
      <c r="AC7" s="4"/>
      <c r="AD7" s="4"/>
      <c r="AE7" s="4"/>
      <c r="AF7" s="4"/>
      <c r="AH7" s="9">
        <f>IF(V7="","",V7*0.3048)</f>
        <v>458634.66311999998</v>
      </c>
      <c r="AI7" s="9">
        <f>IF(W7="","",W7*0.3048)</f>
        <v>2980574.7591840001</v>
      </c>
      <c r="AJ7" s="9">
        <f>IF(X7="","",X7)</f>
        <v>113.834</v>
      </c>
      <c r="AK7" s="9" t="str">
        <f>IF(Y7="","",Y7*0.3048)</f>
        <v/>
      </c>
      <c r="AL7">
        <f>IF(AH7="","",AH7-$AH$4)</f>
        <v>2774.4633359999279</v>
      </c>
      <c r="AM7" s="1">
        <f>IF(AI7="","",AI7-$AI$4)</f>
        <v>-1225.6587120001204</v>
      </c>
      <c r="AN7">
        <f>IF(U7="","",U7*0.3048)</f>
        <v>3033.1327704</v>
      </c>
    </row>
    <row r="8" spans="1:41" x14ac:dyDescent="0.3">
      <c r="A8">
        <v>1495623.5391066801</v>
      </c>
      <c r="B8">
        <v>9782801.2841164004</v>
      </c>
      <c r="C8">
        <v>-3956.76</v>
      </c>
      <c r="D8">
        <v>21</v>
      </c>
      <c r="G8">
        <f>5224-K7-50</f>
        <v>110.48277964035333</v>
      </c>
      <c r="J8" s="48" t="s">
        <v>193</v>
      </c>
      <c r="K8">
        <f t="shared" si="0"/>
        <v>6739.0307832977742</v>
      </c>
      <c r="L8" s="48">
        <v>22110.76</v>
      </c>
      <c r="M8" s="48">
        <v>1514998</v>
      </c>
      <c r="N8" s="48">
        <v>9772384</v>
      </c>
      <c r="O8">
        <f>(L8-L7)/3.281</f>
        <v>1675.5135629381275</v>
      </c>
      <c r="Q8">
        <f>R8/3.281</f>
        <v>221.09204510819879</v>
      </c>
      <c r="R8" s="7">
        <f>U9-U7</f>
        <v>725.40300000000025</v>
      </c>
      <c r="S8" s="4"/>
      <c r="T8" s="21" t="s">
        <v>25</v>
      </c>
      <c r="U8" s="22"/>
      <c r="V8" s="23">
        <f>V60</f>
        <v>1505039.26</v>
      </c>
      <c r="W8" s="23">
        <f>W60</f>
        <v>9778641.7599999998</v>
      </c>
      <c r="X8" s="22"/>
      <c r="Y8" s="22">
        <v>5000</v>
      </c>
      <c r="Z8" s="22"/>
      <c r="AA8" s="22"/>
      <c r="AB8" s="22"/>
      <c r="AC8" s="22"/>
      <c r="AD8" s="22"/>
      <c r="AE8" s="22"/>
      <c r="AF8" s="22"/>
      <c r="AG8" s="11"/>
      <c r="AH8" s="11">
        <f>IF(V8="","",V8*0.3048)</f>
        <v>458735.96644800005</v>
      </c>
      <c r="AI8" s="11">
        <f>IF(W8="","",W8*0.3048)</f>
        <v>2980530.0084480001</v>
      </c>
      <c r="AJ8" s="11" t="str">
        <f>IF(X8="","",X8)</f>
        <v/>
      </c>
      <c r="AK8" s="11">
        <f>IF(Y8="","",Y8*0.3048)</f>
        <v>1524</v>
      </c>
      <c r="AL8" s="37">
        <f>IF(AH8="","",AH8-$AH$4)</f>
        <v>2875.7666639999952</v>
      </c>
      <c r="AM8" s="37">
        <f>IF(AI8="","",AI8-$AI$4)</f>
        <v>-1270.4094480001368</v>
      </c>
      <c r="AN8" s="11" t="str">
        <f>IF(U8="","",U8*0.3048)</f>
        <v/>
      </c>
    </row>
    <row r="9" spans="1:41" x14ac:dyDescent="0.3">
      <c r="A9">
        <v>1495626.28326478</v>
      </c>
      <c r="B9">
        <v>9782800.0718473196</v>
      </c>
      <c r="C9">
        <v>-3956.74</v>
      </c>
      <c r="D9">
        <v>24</v>
      </c>
      <c r="J9" s="49" t="s">
        <v>194</v>
      </c>
      <c r="K9">
        <f t="shared" si="0"/>
        <v>7900.9387381895758</v>
      </c>
      <c r="L9" s="49">
        <v>25922.98</v>
      </c>
      <c r="M9" s="49">
        <v>1518225</v>
      </c>
      <c r="N9" s="49">
        <v>9770355</v>
      </c>
      <c r="O9">
        <f>(L9-L8)/3.281</f>
        <v>1161.9079548918016</v>
      </c>
      <c r="R9" s="4"/>
      <c r="S9" s="4">
        <f>U9/3.281</f>
        <v>3254.0768058518743</v>
      </c>
      <c r="T9" s="6" t="s">
        <v>26</v>
      </c>
      <c r="U9" s="7">
        <v>10676.626</v>
      </c>
      <c r="V9" s="7">
        <f>V62</f>
        <v>1505346.89</v>
      </c>
      <c r="W9" s="7">
        <f>W62</f>
        <v>9778448.4299999997</v>
      </c>
      <c r="X9" s="4">
        <v>122.14700000000001</v>
      </c>
      <c r="Y9" s="4"/>
      <c r="Z9" s="4"/>
      <c r="AA9" s="4"/>
      <c r="AB9" s="4"/>
      <c r="AC9" s="4"/>
      <c r="AD9" s="4"/>
      <c r="AE9" s="4"/>
      <c r="AF9" s="4"/>
      <c r="AH9" s="9">
        <f>IF(V9="","",V9*0.3048)</f>
        <v>458829.73207199998</v>
      </c>
      <c r="AI9" s="9">
        <f>IF(W9="","",W9*0.3048)</f>
        <v>2980471.081464</v>
      </c>
      <c r="AJ9" s="9">
        <f>IF(X9="","",X9)</f>
        <v>122.14700000000001</v>
      </c>
      <c r="AK9" s="9" t="str">
        <f>IF(Y9="","",Y9*0.3048)</f>
        <v/>
      </c>
      <c r="AL9">
        <f>IF(AH9="","",AH9-$AH$4)</f>
        <v>2969.5322879999294</v>
      </c>
      <c r="AM9" s="1">
        <f>IF(AI9="","",AI9-$AI$4)</f>
        <v>-1329.3364320001565</v>
      </c>
      <c r="AN9">
        <f>IF(U9="","",U9*0.3048)</f>
        <v>3254.2356048000001</v>
      </c>
      <c r="AO9">
        <f>AJ9-AJ7</f>
        <v>8.3130000000000024</v>
      </c>
    </row>
    <row r="10" spans="1:41" x14ac:dyDescent="0.3">
      <c r="A10">
        <v>1495629.0274228801</v>
      </c>
      <c r="B10">
        <v>9782798.8595782295</v>
      </c>
      <c r="C10">
        <v>-3956.73</v>
      </c>
      <c r="D10">
        <v>27</v>
      </c>
      <c r="J10" s="48" t="s">
        <v>195</v>
      </c>
      <c r="K10">
        <f t="shared" si="0"/>
        <v>9189.1831758610169</v>
      </c>
      <c r="L10" s="48">
        <v>30149.71</v>
      </c>
      <c r="M10" s="48">
        <v>1521179</v>
      </c>
      <c r="N10" s="48">
        <v>9767389</v>
      </c>
      <c r="O10">
        <f t="shared" ref="O10" si="1">(L10-L9)/3.281</f>
        <v>1288.2444376714413</v>
      </c>
      <c r="Q10">
        <f>R10/3.281</f>
        <v>524.79701310576058</v>
      </c>
      <c r="R10" s="3">
        <f>U10-U9</f>
        <v>1721.8590000000004</v>
      </c>
      <c r="S10" s="4">
        <f>U10/3.281</f>
        <v>3778.8738189576347</v>
      </c>
      <c r="T10" s="29" t="s">
        <v>191</v>
      </c>
      <c r="U10" s="30">
        <v>12398.485000000001</v>
      </c>
      <c r="V10" s="30">
        <v>1506804.7720000001</v>
      </c>
      <c r="W10" s="30">
        <v>9777532.2530000005</v>
      </c>
      <c r="X10" s="20"/>
      <c r="Y10" s="20"/>
      <c r="Z10" s="32"/>
      <c r="AA10" s="32"/>
      <c r="AB10" s="32"/>
      <c r="AC10" s="32"/>
      <c r="AD10" s="32"/>
      <c r="AE10" s="32"/>
      <c r="AF10" s="32"/>
      <c r="AG10" s="20"/>
      <c r="AH10" s="20">
        <f>IF(V10="","",V10*0.3048)</f>
        <v>459274.09450560005</v>
      </c>
      <c r="AI10" s="20">
        <f>IF(W10="","",W10*0.3048)</f>
        <v>2980191.8307144004</v>
      </c>
      <c r="AJ10" s="20" t="str">
        <f>IF(X10="","",X10)</f>
        <v/>
      </c>
      <c r="AK10" s="20" t="str">
        <f>IF(Y10="","",Y10*0.3048)</f>
        <v/>
      </c>
      <c r="AL10" s="20">
        <f>IF(AH10="","",AH10-$AH$4)</f>
        <v>3413.8947215999942</v>
      </c>
      <c r="AM10" s="33">
        <f>IF(AI10="","",AI10-$AI$4)</f>
        <v>-1608.5871815998107</v>
      </c>
      <c r="AN10" s="20">
        <f>IF(U10="","",U10*0.3048)</f>
        <v>3779.0582280000003</v>
      </c>
    </row>
    <row r="11" spans="1:41" x14ac:dyDescent="0.3">
      <c r="A11">
        <v>1495631.7715809799</v>
      </c>
      <c r="B11">
        <v>9782797.6473091505</v>
      </c>
      <c r="C11">
        <v>-3956.71</v>
      </c>
      <c r="D11">
        <v>30</v>
      </c>
      <c r="J11" s="49" t="s">
        <v>196</v>
      </c>
      <c r="K11">
        <f t="shared" si="0"/>
        <v>10578.652849740931</v>
      </c>
      <c r="L11" s="49">
        <f>34958.56-250</f>
        <v>34708.559999999998</v>
      </c>
      <c r="M11" s="49">
        <v>1524665</v>
      </c>
      <c r="N11" s="49">
        <v>9764183</v>
      </c>
      <c r="O11">
        <f>(L11-L10)/3.281</f>
        <v>1389.4696738799141</v>
      </c>
      <c r="Q11">
        <f t="shared" ref="Q11" si="2">R11/3.281</f>
        <v>1273.6555928070702</v>
      </c>
      <c r="R11" s="3">
        <f>U11-U10</f>
        <v>4178.8639999999978</v>
      </c>
      <c r="S11" s="4">
        <f t="shared" ref="S11:S14" si="3">U11/3.281</f>
        <v>5052.5294117647054</v>
      </c>
      <c r="T11" s="29" t="s">
        <v>192</v>
      </c>
      <c r="U11" s="30">
        <v>16577.348999999998</v>
      </c>
      <c r="V11" s="30">
        <v>1510342.9720000001</v>
      </c>
      <c r="W11" s="30">
        <v>9775308.7310000006</v>
      </c>
      <c r="X11" s="20"/>
      <c r="Y11" s="20"/>
      <c r="Z11" s="32"/>
      <c r="AA11" s="32"/>
      <c r="AB11" s="32"/>
      <c r="AC11" s="32"/>
      <c r="AD11" s="32"/>
      <c r="AE11" s="32"/>
      <c r="AF11" s="32"/>
      <c r="AG11" s="20"/>
      <c r="AH11" s="20">
        <f>IF(V11="","",V11*0.3048)</f>
        <v>460352.53786560002</v>
      </c>
      <c r="AI11" s="20">
        <f>IF(W11="","",W11*0.3048)</f>
        <v>2979514.1012088004</v>
      </c>
      <c r="AJ11" s="20" t="str">
        <f>IF(X11="","",X11)</f>
        <v/>
      </c>
      <c r="AK11" s="20" t="str">
        <f>IF(Y11="","",Y11*0.3048)</f>
        <v/>
      </c>
      <c r="AL11" s="20">
        <f>IF(AH11="","",AH11-$AH$4)</f>
        <v>4492.3380815999699</v>
      </c>
      <c r="AM11" s="33">
        <f>IF(AI11="","",AI11-$AI$4)</f>
        <v>-2286.3166871997528</v>
      </c>
      <c r="AN11" s="20">
        <f>IF(U11="","",U11*0.3048)</f>
        <v>5052.7759752000002</v>
      </c>
    </row>
    <row r="12" spans="1:41" x14ac:dyDescent="0.3">
      <c r="A12">
        <v>1495634.51573907</v>
      </c>
      <c r="B12">
        <v>9782796.4350400604</v>
      </c>
      <c r="C12">
        <v>-3956.7</v>
      </c>
      <c r="D12">
        <v>33</v>
      </c>
      <c r="O12">
        <f>S23-K11</f>
        <v>1372.4004876562049</v>
      </c>
      <c r="Q12">
        <f>R12/3.281</f>
        <v>1675.5147820786349</v>
      </c>
      <c r="R12" s="3">
        <f>U12-U11</f>
        <v>5497.3640000000014</v>
      </c>
      <c r="S12" s="4">
        <f t="shared" si="3"/>
        <v>6728.0441938433405</v>
      </c>
      <c r="T12" s="29" t="s">
        <v>193</v>
      </c>
      <c r="U12" s="30">
        <v>22074.713</v>
      </c>
      <c r="V12" s="30">
        <v>1514997.531</v>
      </c>
      <c r="W12" s="30">
        <v>9772383.6520000007</v>
      </c>
      <c r="X12" s="20"/>
      <c r="Y12" s="20"/>
      <c r="Z12" s="32"/>
      <c r="AA12" s="32"/>
      <c r="AB12" s="32"/>
      <c r="AC12" s="32"/>
      <c r="AD12" s="32"/>
      <c r="AE12" s="32"/>
      <c r="AF12" s="32"/>
      <c r="AG12" s="20"/>
      <c r="AH12" s="20">
        <f>IF(V12="","",V12*0.3048)</f>
        <v>461771.24744880002</v>
      </c>
      <c r="AI12" s="20">
        <f>IF(W12="","",W12*0.3048)</f>
        <v>2978622.5371296005</v>
      </c>
      <c r="AJ12" s="20" t="str">
        <f>IF(X12="","",X12)</f>
        <v/>
      </c>
      <c r="AK12" s="20" t="str">
        <f>IF(Y12="","",Y12*0.3048)</f>
        <v/>
      </c>
      <c r="AL12" s="20">
        <f>IF(AH12="","",AH12-$AH$4)</f>
        <v>5911.0476647999603</v>
      </c>
      <c r="AM12" s="33">
        <f>IF(AI12="","",AI12-$AI$4)</f>
        <v>-3177.8807663996704</v>
      </c>
      <c r="AN12" s="20">
        <f>IF(U12="","",U12*0.3048)</f>
        <v>6728.3725224</v>
      </c>
    </row>
    <row r="13" spans="1:41" x14ac:dyDescent="0.3">
      <c r="A13">
        <v>1495637.2598971699</v>
      </c>
      <c r="B13">
        <v>9782795.2227709796</v>
      </c>
      <c r="C13">
        <v>-3956.69</v>
      </c>
      <c r="D13">
        <v>36</v>
      </c>
      <c r="R13" s="3"/>
      <c r="S13" s="4">
        <f t="shared" si="3"/>
        <v>7588.7458092045099</v>
      </c>
      <c r="T13" s="24" t="s">
        <v>30</v>
      </c>
      <c r="U13" s="25">
        <v>24898.674999999999</v>
      </c>
      <c r="V13" s="25">
        <v>1517388.5490000001</v>
      </c>
      <c r="W13" s="25">
        <v>9770881.057</v>
      </c>
      <c r="X13" s="26"/>
      <c r="Y13" s="27"/>
      <c r="Z13" s="27"/>
      <c r="AA13" s="27"/>
      <c r="AB13" s="27"/>
      <c r="AC13" s="27"/>
      <c r="AD13" s="27"/>
      <c r="AE13" s="27"/>
      <c r="AF13" s="27"/>
      <c r="AG13" s="26"/>
      <c r="AH13" s="26">
        <f>IF(V13="","",V13*0.3048)</f>
        <v>462500.02973520005</v>
      </c>
      <c r="AI13" s="26">
        <f>IF(W13="","",W13*0.3048)</f>
        <v>2978164.5461736</v>
      </c>
      <c r="AJ13" s="26" t="str">
        <f>IF(X13="","",X13)</f>
        <v/>
      </c>
      <c r="AK13" s="26" t="str">
        <f>IF(Y13="","",Y13*0.3048)</f>
        <v/>
      </c>
      <c r="AL13" s="26">
        <f>IF(AH13="","",AH13-$AH$4)</f>
        <v>6639.829951199994</v>
      </c>
      <c r="AM13" s="28">
        <f>IF(AI13="","",AI13-$AI$4)</f>
        <v>-3635.8717224001884</v>
      </c>
      <c r="AN13" s="26">
        <f>IF(U13="","",U13*0.3048)</f>
        <v>7589.1161400000001</v>
      </c>
    </row>
    <row r="14" spans="1:41" x14ac:dyDescent="0.3">
      <c r="A14">
        <v>1495640.00405527</v>
      </c>
      <c r="B14">
        <v>9782794.0105018895</v>
      </c>
      <c r="C14">
        <v>-3956.69</v>
      </c>
      <c r="D14">
        <v>39</v>
      </c>
      <c r="Q14">
        <f>R14/3.281</f>
        <v>1233.4358427308753</v>
      </c>
      <c r="R14" s="3">
        <f>U14-U12</f>
        <v>4046.9030000000021</v>
      </c>
      <c r="S14" s="4">
        <f t="shared" si="3"/>
        <v>7961.4800365742158</v>
      </c>
      <c r="T14" s="29" t="s">
        <v>194</v>
      </c>
      <c r="U14" s="30">
        <v>26121.616000000002</v>
      </c>
      <c r="V14" s="30">
        <v>1518424</v>
      </c>
      <c r="W14" s="30">
        <v>9770230.3450000007</v>
      </c>
      <c r="X14" s="20"/>
      <c r="Y14" s="20"/>
      <c r="Z14" s="32"/>
      <c r="AA14" s="32"/>
      <c r="AB14" s="32"/>
      <c r="AC14" s="32"/>
      <c r="AD14" s="32"/>
      <c r="AE14" s="32"/>
      <c r="AF14" s="32"/>
      <c r="AG14" s="20"/>
      <c r="AH14" s="20">
        <f>IF(V14="","",V14*0.3048)</f>
        <v>462815.63520000002</v>
      </c>
      <c r="AI14" s="20">
        <f>IF(W14="","",W14*0.3048)</f>
        <v>2977966.2091560005</v>
      </c>
      <c r="AJ14" s="20" t="str">
        <f>IF(X14="","",X14)</f>
        <v/>
      </c>
      <c r="AK14" s="20" t="str">
        <f>IF(Y14="","",Y14*0.3048)</f>
        <v/>
      </c>
      <c r="AL14" s="20">
        <f>IF(AH14="","",AH14-$AH$4)</f>
        <v>6955.4354159999639</v>
      </c>
      <c r="AM14" s="33">
        <f>IF(AI14="","",AI14-$AI$4)</f>
        <v>-3834.2087399996817</v>
      </c>
      <c r="AN14" s="20">
        <f>IF(U14="","",U14*0.3048)</f>
        <v>7961.868556800001</v>
      </c>
    </row>
    <row r="15" spans="1:41" x14ac:dyDescent="0.3">
      <c r="A15">
        <v>1495642.7482133701</v>
      </c>
      <c r="B15">
        <v>9782792.7982328106</v>
      </c>
      <c r="C15">
        <v>-3956.7</v>
      </c>
      <c r="D15">
        <v>42</v>
      </c>
      <c r="Q15">
        <f>R15/3.281</f>
        <v>117.29655592807026</v>
      </c>
      <c r="R15" s="4">
        <f>U15-U14</f>
        <v>384.84999999999854</v>
      </c>
      <c r="S15" s="4">
        <f>U15/3.281</f>
        <v>8078.7765925022859</v>
      </c>
      <c r="T15" s="6" t="s">
        <v>27</v>
      </c>
      <c r="U15" s="4">
        <v>26506.466</v>
      </c>
      <c r="V15" s="7">
        <f>V63</f>
        <v>1518749.85</v>
      </c>
      <c r="W15" s="7">
        <f>W63</f>
        <v>9770025.5700000003</v>
      </c>
      <c r="X15" s="4">
        <v>122.14700000000001</v>
      </c>
      <c r="Y15" s="4"/>
      <c r="Z15" s="4"/>
      <c r="AA15" s="4"/>
      <c r="AB15" s="4"/>
      <c r="AC15" s="4"/>
      <c r="AD15" s="4"/>
      <c r="AE15" s="4"/>
      <c r="AF15" s="4"/>
      <c r="AH15" s="9">
        <f>IF(V15="","",V15*0.3048)</f>
        <v>462914.95428000006</v>
      </c>
      <c r="AI15" s="9">
        <f>IF(W15="","",W15*0.3048)</f>
        <v>2977903.7937360001</v>
      </c>
      <c r="AJ15" s="9">
        <f>IF(X15="","",X15)</f>
        <v>122.14700000000001</v>
      </c>
      <c r="AK15" s="9" t="str">
        <f>IF(Y15="","",Y15*0.3048)</f>
        <v/>
      </c>
      <c r="AL15">
        <f>IF(AH15="","",AH15-$AH$4)</f>
        <v>7054.7544960000087</v>
      </c>
      <c r="AM15" s="1">
        <f>IF(AI15="","",AI15-$AI$4)</f>
        <v>-3896.6241600001231</v>
      </c>
      <c r="AN15">
        <f>IF(U15="","",U15*0.3048)</f>
        <v>8079.1708368000009</v>
      </c>
    </row>
    <row r="16" spans="1:41" x14ac:dyDescent="0.3">
      <c r="A16">
        <v>1495645.49237146</v>
      </c>
      <c r="B16">
        <v>9782791.5859637205</v>
      </c>
      <c r="C16">
        <v>-3956.71</v>
      </c>
      <c r="D16">
        <v>45</v>
      </c>
      <c r="O16">
        <f>S21-S19</f>
        <v>655.75007619628195</v>
      </c>
      <c r="Q16">
        <f>R16/3.281</f>
        <v>-7964.4991615747094</v>
      </c>
      <c r="R16" s="7">
        <f>U17-U15</f>
        <v>-26131.521749126623</v>
      </c>
      <c r="S16" s="4"/>
      <c r="T16" s="21" t="s">
        <v>28</v>
      </c>
      <c r="U16" s="22"/>
      <c r="V16" s="23">
        <f>V64</f>
        <v>1519498.3</v>
      </c>
      <c r="W16" s="23">
        <f>W64</f>
        <v>9769555.2200000007</v>
      </c>
      <c r="X16" s="22"/>
      <c r="Y16" s="22">
        <v>5000</v>
      </c>
      <c r="Z16" s="22"/>
      <c r="AA16" s="22"/>
      <c r="AB16" s="22"/>
      <c r="AC16" s="22"/>
      <c r="AD16" s="22"/>
      <c r="AE16" s="22"/>
      <c r="AF16" s="22"/>
      <c r="AG16" s="11"/>
      <c r="AH16" s="11">
        <f>IF(V16="","",V16*0.3048)</f>
        <v>463143.08184000006</v>
      </c>
      <c r="AI16" s="11">
        <f>IF(W16="","",W16*0.3048)</f>
        <v>2977760.4310560003</v>
      </c>
      <c r="AJ16" s="11" t="str">
        <f>IF(X16="","",X16)</f>
        <v/>
      </c>
      <c r="AK16" s="11">
        <f>IF(Y16="","",Y16*0.3048)</f>
        <v>1524</v>
      </c>
      <c r="AL16" s="11">
        <f>IF(AH16="","",AH16-$AH$4)</f>
        <v>7282.8820560000022</v>
      </c>
      <c r="AM16" s="14">
        <f>IF(AI16="","",AI16-$AI$4)</f>
        <v>-4039.9868399999104</v>
      </c>
      <c r="AN16" s="11" t="str">
        <f>IF(U16="","",U16*0.3048)</f>
        <v/>
      </c>
    </row>
    <row r="17" spans="1:45" x14ac:dyDescent="0.3">
      <c r="A17">
        <v>1495648.2365295601</v>
      </c>
      <c r="B17">
        <v>9782790.3736946303</v>
      </c>
      <c r="C17">
        <v>-3956.72</v>
      </c>
      <c r="D17">
        <v>48</v>
      </c>
      <c r="S17" s="4">
        <f>U17/3.281</f>
        <v>114.27743092757619</v>
      </c>
      <c r="T17" s="6" t="s">
        <v>29</v>
      </c>
      <c r="U17" s="7">
        <f>AG66</f>
        <v>374.94425087337748</v>
      </c>
      <c r="V17" s="7">
        <f>V66</f>
        <v>1520040.11</v>
      </c>
      <c r="W17" s="7">
        <f>W66</f>
        <v>9768856.7599999998</v>
      </c>
      <c r="X17" s="4">
        <v>142.19900000000001</v>
      </c>
      <c r="Y17" s="4"/>
      <c r="Z17" s="4"/>
      <c r="AA17" s="4"/>
      <c r="AB17" s="4"/>
      <c r="AC17" s="4"/>
      <c r="AD17" s="4"/>
      <c r="AE17" s="4"/>
      <c r="AF17" s="4"/>
      <c r="AH17" s="9">
        <f>IF(V17="","",V17*0.3048)</f>
        <v>463308.22552800004</v>
      </c>
      <c r="AI17" s="9">
        <f>IF(W17="","",W17*0.3048)</f>
        <v>2977547.5404480002</v>
      </c>
      <c r="AJ17" s="9">
        <f>IF(X17="","",X17)</f>
        <v>142.19900000000001</v>
      </c>
      <c r="AK17" s="9" t="str">
        <f>IF(Y17="","",Y17*0.3048)</f>
        <v/>
      </c>
      <c r="AL17">
        <f>IF(AH17="","",AH17-$AH$4)</f>
        <v>7448.0257439999841</v>
      </c>
      <c r="AM17" s="1">
        <f>IF(AI17="","",AI17-$AI$4)</f>
        <v>-4252.8774480000138</v>
      </c>
      <c r="AN17">
        <f>IF(U17="","",U17*0.3048)</f>
        <v>114.28300766620546</v>
      </c>
      <c r="AO17">
        <f>AJ17-AJ15</f>
        <v>20.052000000000007</v>
      </c>
    </row>
    <row r="18" spans="1:45" x14ac:dyDescent="0.3">
      <c r="A18">
        <v>1495650.9806876599</v>
      </c>
      <c r="B18">
        <v>9782789.1614255495</v>
      </c>
      <c r="C18">
        <v>-3956.71</v>
      </c>
      <c r="D18">
        <v>51</v>
      </c>
      <c r="Q18">
        <f>R18/3.281</f>
        <v>9063.918545908753</v>
      </c>
      <c r="R18" s="3">
        <f>U18-U17</f>
        <v>29738.716749126623</v>
      </c>
      <c r="S18" s="4">
        <f>U18/3.281</f>
        <v>9178.1959768363304</v>
      </c>
      <c r="T18" s="29" t="s">
        <v>195</v>
      </c>
      <c r="U18" s="31">
        <v>30113.661</v>
      </c>
      <c r="V18" s="30">
        <v>1521178.517</v>
      </c>
      <c r="W18" s="30">
        <v>9767389.2070000004</v>
      </c>
      <c r="X18" s="20"/>
      <c r="Y18" s="20"/>
      <c r="Z18" s="32"/>
      <c r="AA18" s="32"/>
      <c r="AB18" s="32"/>
      <c r="AC18" s="32"/>
      <c r="AD18" s="32"/>
      <c r="AE18" s="32"/>
      <c r="AF18" s="32"/>
      <c r="AG18" s="20"/>
      <c r="AH18" s="20">
        <f>IF(V18="","",V18*0.3048)</f>
        <v>463655.21198160003</v>
      </c>
      <c r="AI18" s="20">
        <f>IF(W18="","",W18*0.3048)</f>
        <v>2977100.2302936004</v>
      </c>
      <c r="AJ18" s="20" t="str">
        <f>IF(X18="","",X18)</f>
        <v/>
      </c>
      <c r="AK18" s="20" t="str">
        <f>IF(Y18="","",Y18*0.3048)</f>
        <v/>
      </c>
      <c r="AL18" s="20">
        <f>IF(AH18="","",AH18-$AH$4)</f>
        <v>7795.0121975999791</v>
      </c>
      <c r="AM18" s="33">
        <f>IF(AI18="","",AI18-$AI$4)</f>
        <v>-4700.1876023998484</v>
      </c>
      <c r="AN18" s="20">
        <f>IF(U18="","",U18*0.3048)</f>
        <v>9178.6438728000012</v>
      </c>
    </row>
    <row r="19" spans="1:45" x14ac:dyDescent="0.3">
      <c r="A19">
        <v>1495653.72484576</v>
      </c>
      <c r="B19">
        <v>9782787.9491564706</v>
      </c>
      <c r="C19">
        <v>-3956.69</v>
      </c>
      <c r="D19">
        <v>54</v>
      </c>
      <c r="Q19">
        <f>R19/3.281</f>
        <v>566.0862541907959</v>
      </c>
      <c r="R19" s="3">
        <f>U19-U18</f>
        <v>1857.3290000000015</v>
      </c>
      <c r="S19" s="4">
        <f>U19/3.281</f>
        <v>9744.2822310271258</v>
      </c>
      <c r="T19" s="6" t="s">
        <v>31</v>
      </c>
      <c r="U19" s="7">
        <v>31970.99</v>
      </c>
      <c r="V19" s="7">
        <f>V67</f>
        <v>1522316.92</v>
      </c>
      <c r="W19" s="7">
        <f>W67</f>
        <v>9765921.6600000001</v>
      </c>
      <c r="X19" s="4">
        <v>142.19900000000001</v>
      </c>
      <c r="Z19" s="4"/>
      <c r="AA19" s="4"/>
      <c r="AB19" s="4"/>
      <c r="AC19" s="4"/>
      <c r="AD19" s="4"/>
      <c r="AE19" s="4"/>
      <c r="AF19" s="4"/>
      <c r="AH19" s="9">
        <f>IF(V19="","",V19*0.3048)</f>
        <v>464002.197216</v>
      </c>
      <c r="AI19" s="9">
        <f>IF(W19="","",W19*0.3048)</f>
        <v>2976652.921968</v>
      </c>
      <c r="AJ19" s="9">
        <f>IF(X19="","",X19)</f>
        <v>142.19900000000001</v>
      </c>
      <c r="AK19" s="9" t="str">
        <f>IF(Y19="","",Y19*0.3048)</f>
        <v/>
      </c>
      <c r="AL19">
        <f>IF(AH19="","",AH19-$AH$4)</f>
        <v>8141.9974319999455</v>
      </c>
      <c r="AM19" s="1">
        <f>IF(AI19="","",AI19-$AI$4)</f>
        <v>-5147.4959280001931</v>
      </c>
      <c r="AN19">
        <f>IF(U19="","",U19*0.3048)</f>
        <v>9744.7577520000013</v>
      </c>
      <c r="AR19" t="s">
        <v>205</v>
      </c>
      <c r="AS19">
        <v>3033.1329999999998</v>
      </c>
    </row>
    <row r="20" spans="1:45" x14ac:dyDescent="0.3">
      <c r="A20">
        <v>1495656.4690038599</v>
      </c>
      <c r="B20">
        <v>9782786.7368873805</v>
      </c>
      <c r="C20">
        <v>-3956.67</v>
      </c>
      <c r="D20">
        <v>57</v>
      </c>
      <c r="Q20">
        <f t="shared" ref="Q20:Q23" si="4">R20/3.281</f>
        <v>655.7500761962815</v>
      </c>
      <c r="R20" s="7">
        <f>U21-U19</f>
        <v>2151.5159999999996</v>
      </c>
      <c r="S20" s="4"/>
      <c r="T20" s="21" t="s">
        <v>32</v>
      </c>
      <c r="U20" s="22"/>
      <c r="V20" s="23">
        <f>V68</f>
        <v>1522986.65</v>
      </c>
      <c r="W20" s="23">
        <f>W68</f>
        <v>9765058.2899999991</v>
      </c>
      <c r="X20" s="22"/>
      <c r="Y20" s="22">
        <v>5000</v>
      </c>
      <c r="Z20" s="22"/>
      <c r="AA20" s="22"/>
      <c r="AB20" s="22"/>
      <c r="AC20" s="22"/>
      <c r="AD20" s="22"/>
      <c r="AE20" s="22"/>
      <c r="AF20" s="22"/>
      <c r="AG20" s="11"/>
      <c r="AH20" s="11">
        <f>IF(V20="","",V20*0.3048)</f>
        <v>464206.33091999998</v>
      </c>
      <c r="AI20" s="11">
        <f>IF(W20="","",W20*0.3048)</f>
        <v>2976389.7667919998</v>
      </c>
      <c r="AJ20" s="11" t="str">
        <f>IF(X20="","",X20)</f>
        <v/>
      </c>
      <c r="AK20" s="11">
        <f>IF(Y20="","",Y20*0.3048)</f>
        <v>1524</v>
      </c>
      <c r="AL20" s="11">
        <f>IF(AH20="","",AH20-$AH$4)</f>
        <v>8346.1311359999236</v>
      </c>
      <c r="AM20" s="14">
        <f>IF(AI20="","",AI20-$AI$4)</f>
        <v>-5410.651104000397</v>
      </c>
      <c r="AN20" s="11" t="str">
        <f>IF(U20="","",U20*0.3048)</f>
        <v/>
      </c>
      <c r="AS20">
        <v>221.10300000000001</v>
      </c>
    </row>
    <row r="21" spans="1:45" x14ac:dyDescent="0.3">
      <c r="A21">
        <v>1495659.21316195</v>
      </c>
      <c r="B21">
        <v>9782785.5246182904</v>
      </c>
      <c r="C21">
        <v>-3956.66</v>
      </c>
      <c r="D21">
        <v>60</v>
      </c>
      <c r="R21" s="4"/>
      <c r="S21" s="4">
        <f>U21/3.281</f>
        <v>10400.032307223408</v>
      </c>
      <c r="T21" s="6" t="s">
        <v>33</v>
      </c>
      <c r="U21" s="7">
        <v>34122.506000000001</v>
      </c>
      <c r="V21" s="7">
        <f>V70</f>
        <v>1523955.47</v>
      </c>
      <c r="W21" s="7">
        <f>W70</f>
        <v>9764553.0099999998</v>
      </c>
      <c r="X21" s="4">
        <v>117.554</v>
      </c>
      <c r="Y21" s="4"/>
      <c r="Z21" s="4"/>
      <c r="AA21" s="4"/>
      <c r="AB21" s="4"/>
      <c r="AC21" s="4"/>
      <c r="AD21" s="4"/>
      <c r="AE21" s="4"/>
      <c r="AF21" s="4"/>
      <c r="AH21" s="9">
        <f>IF(V21="","",V21*0.3048)</f>
        <v>464501.62725600001</v>
      </c>
      <c r="AI21" s="9">
        <f>IF(W21="","",W21*0.3048)</f>
        <v>2976235.7574479999</v>
      </c>
      <c r="AJ21" s="9">
        <f>IF(X21="","",X21)</f>
        <v>117.554</v>
      </c>
      <c r="AK21" s="9" t="str">
        <f>IF(Y21="","",Y21*0.3048)</f>
        <v/>
      </c>
      <c r="AL21">
        <f>IF(AH21="","",AH21-$AH$4)</f>
        <v>8641.4274719999521</v>
      </c>
      <c r="AM21" s="1">
        <f>IF(AI21="","",AI21-$AI$4)</f>
        <v>-5564.6604480003007</v>
      </c>
      <c r="AN21">
        <f>IF(U21="","",U21*0.3048)</f>
        <v>10400.539828800001</v>
      </c>
      <c r="AO21">
        <f>AJ19-AJ21</f>
        <v>24.64500000000001</v>
      </c>
      <c r="AS21">
        <v>4824.9340000000002</v>
      </c>
    </row>
    <row r="22" spans="1:45" x14ac:dyDescent="0.3">
      <c r="A22">
        <v>1495661.9573200501</v>
      </c>
      <c r="B22">
        <v>9782784.3123492096</v>
      </c>
      <c r="C22">
        <v>-3956.65</v>
      </c>
      <c r="D22">
        <v>63</v>
      </c>
      <c r="Q22">
        <f t="shared" si="4"/>
        <v>847.72355989027767</v>
      </c>
      <c r="R22" s="7">
        <f>U22-U21</f>
        <v>2781.3810000000012</v>
      </c>
      <c r="S22" s="4">
        <f>U22/3.281</f>
        <v>11247.755867113685</v>
      </c>
      <c r="T22" s="29" t="s">
        <v>196</v>
      </c>
      <c r="U22" s="31">
        <v>36903.887000000002</v>
      </c>
      <c r="V22" s="31">
        <v>1526421.5989999999</v>
      </c>
      <c r="W22" s="31">
        <v>9763266.8159999996</v>
      </c>
      <c r="X22" s="20"/>
      <c r="Y22" s="32"/>
      <c r="Z22" s="32"/>
      <c r="AA22" s="32"/>
      <c r="AB22" s="32"/>
      <c r="AC22" s="32"/>
      <c r="AD22" s="32"/>
      <c r="AE22" s="32"/>
      <c r="AF22" s="32"/>
      <c r="AG22" s="20"/>
      <c r="AH22" s="20">
        <f>IF(V22="","",V22*0.3048)</f>
        <v>465253.30337520002</v>
      </c>
      <c r="AI22" s="20">
        <f>IF(W22="","",W22*0.3048)</f>
        <v>2975843.7255167998</v>
      </c>
      <c r="AJ22" s="20" t="str">
        <f>IF(X22="","",X22)</f>
        <v/>
      </c>
      <c r="AK22" s="20" t="str">
        <f>IF(Y22="","",Y22*0.3048)</f>
        <v/>
      </c>
      <c r="AL22" s="20">
        <f>IF(AH22="","",AH22-$AH$4)</f>
        <v>9393.1035911999643</v>
      </c>
      <c r="AM22" s="33">
        <f>IF(AI22="","",AI22-$AI$4)</f>
        <v>-5956.6923792003654</v>
      </c>
      <c r="AN22" s="20">
        <f>IF(U22="","",U22*0.3048)</f>
        <v>11248.304757600001</v>
      </c>
      <c r="AS22">
        <v>533.36</v>
      </c>
    </row>
    <row r="23" spans="1:45" x14ac:dyDescent="0.3">
      <c r="A23">
        <v>1495664.70147815</v>
      </c>
      <c r="B23">
        <v>9782783.1000801194</v>
      </c>
      <c r="C23">
        <v>-3956.63</v>
      </c>
      <c r="D23">
        <v>66</v>
      </c>
      <c r="Q23">
        <f t="shared" si="4"/>
        <v>703.29747028345025</v>
      </c>
      <c r="R23" s="7">
        <f>U23-U22</f>
        <v>2307.5190000000002</v>
      </c>
      <c r="S23" s="4">
        <f>U23/3.281</f>
        <v>11951.053337397136</v>
      </c>
      <c r="T23" s="6" t="s">
        <v>34</v>
      </c>
      <c r="U23" s="7">
        <v>39211.406000000003</v>
      </c>
      <c r="V23" s="7">
        <f>V71</f>
        <v>1528467.57</v>
      </c>
      <c r="W23" s="7">
        <f>W71</f>
        <v>9762199.75</v>
      </c>
      <c r="X23" s="4"/>
      <c r="Z23" s="44"/>
      <c r="AA23" s="44"/>
      <c r="AB23" s="4"/>
      <c r="AC23" s="4"/>
      <c r="AD23" s="4"/>
      <c r="AE23" s="4"/>
      <c r="AF23" s="4"/>
      <c r="AH23" s="9">
        <f>IF(V23="","",V23*0.3048)</f>
        <v>465876.91533600003</v>
      </c>
      <c r="AI23" s="9">
        <f>IF(W23="","",W23*0.3048)</f>
        <v>2975518.4838</v>
      </c>
      <c r="AJ23" s="9" t="str">
        <f>IF(X23="","",X23)</f>
        <v/>
      </c>
      <c r="AK23" s="9" t="str">
        <f>IF(Y23="","",Y23*0.3048)</f>
        <v/>
      </c>
      <c r="AL23">
        <f>IF(AH23="","",AH23-$AH$4)</f>
        <v>10016.71555199998</v>
      </c>
      <c r="AM23" s="1">
        <f>IF(AI23="","",AI23-$AI$4)</f>
        <v>-6281.9340960001573</v>
      </c>
      <c r="AN23">
        <f>IF(U23="","",U23*0.3048)</f>
        <v>11951.636548800001</v>
      </c>
      <c r="AS23">
        <v>1132.2280000000001</v>
      </c>
    </row>
    <row r="24" spans="1:45" x14ac:dyDescent="0.3">
      <c r="A24">
        <v>1495667.4456362501</v>
      </c>
      <c r="B24">
        <v>9782781.8878110405</v>
      </c>
      <c r="C24">
        <v>-3956.62</v>
      </c>
      <c r="D24">
        <v>69</v>
      </c>
      <c r="R24" s="3"/>
      <c r="S24" s="4"/>
      <c r="T24" s="6"/>
      <c r="U24" s="7"/>
      <c r="V24" s="7"/>
      <c r="W24" s="7"/>
      <c r="X24" s="4"/>
      <c r="Z24" s="7"/>
      <c r="AA24" s="7"/>
      <c r="AB24" s="4"/>
      <c r="AC24" s="4"/>
      <c r="AD24" s="4"/>
      <c r="AE24" s="4"/>
      <c r="AF24" s="4"/>
      <c r="AH24" s="9"/>
      <c r="AI24" s="9"/>
      <c r="AJ24" s="9"/>
      <c r="AK24" s="9"/>
      <c r="AM24" s="1"/>
      <c r="AS24">
        <v>655.78300000000002</v>
      </c>
    </row>
    <row r="25" spans="1:45" x14ac:dyDescent="0.3">
      <c r="A25">
        <v>1495670.1897943399</v>
      </c>
      <c r="B25">
        <v>9782780.6755419504</v>
      </c>
      <c r="C25">
        <v>-3956.63</v>
      </c>
      <c r="D25">
        <v>72</v>
      </c>
      <c r="R25" s="3"/>
      <c r="S25" s="4"/>
      <c r="T25" s="6"/>
      <c r="U25" s="7"/>
      <c r="V25" s="7"/>
      <c r="W25" s="7"/>
      <c r="X25" s="4"/>
      <c r="Z25" s="7"/>
      <c r="AA25" s="7"/>
      <c r="AB25" s="4"/>
      <c r="AC25" s="4"/>
      <c r="AD25" s="4"/>
      <c r="AE25" s="4"/>
      <c r="AF25" s="4"/>
      <c r="AH25" s="9"/>
      <c r="AI25" s="9"/>
      <c r="AJ25" s="9"/>
      <c r="AK25" s="9"/>
      <c r="AM25" s="1"/>
      <c r="AS25">
        <v>1551.0940000000001</v>
      </c>
    </row>
    <row r="26" spans="1:45" x14ac:dyDescent="0.3">
      <c r="A26">
        <v>1495672.93395244</v>
      </c>
      <c r="B26">
        <v>9782779.4632728696</v>
      </c>
      <c r="C26">
        <v>-3956.62</v>
      </c>
      <c r="D26">
        <v>75</v>
      </c>
      <c r="R26" s="3"/>
      <c r="S26" s="4"/>
      <c r="T26" s="6"/>
      <c r="U26" s="7"/>
      <c r="V26" s="7"/>
      <c r="W26" s="7"/>
      <c r="X26" s="4"/>
      <c r="Z26" s="7"/>
      <c r="AA26" s="7"/>
      <c r="AB26" s="4"/>
      <c r="AC26" s="4"/>
      <c r="AD26" s="4"/>
      <c r="AE26" s="4"/>
      <c r="AF26" s="4"/>
      <c r="AH26" s="9"/>
      <c r="AI26" s="9"/>
      <c r="AJ26" s="9"/>
      <c r="AK26" s="9"/>
      <c r="AM26" s="1"/>
    </row>
    <row r="27" spans="1:45" x14ac:dyDescent="0.3">
      <c r="A27">
        <v>1495675.6781105399</v>
      </c>
      <c r="B27">
        <v>9782778.2510037795</v>
      </c>
      <c r="C27">
        <v>-3956.6</v>
      </c>
      <c r="D27">
        <v>78</v>
      </c>
      <c r="R27" s="3"/>
      <c r="S27" s="4"/>
      <c r="T27" s="6"/>
      <c r="U27" s="7"/>
      <c r="V27" s="7"/>
      <c r="W27" s="7"/>
      <c r="X27" s="4"/>
      <c r="Z27" s="7"/>
      <c r="AA27" s="7"/>
      <c r="AB27" s="4"/>
      <c r="AC27" s="4"/>
      <c r="AD27" s="4"/>
      <c r="AE27" s="4"/>
      <c r="AF27" s="4"/>
      <c r="AH27" s="9"/>
      <c r="AI27" s="9"/>
      <c r="AJ27" s="9"/>
      <c r="AK27" s="9"/>
      <c r="AM27" s="1"/>
    </row>
    <row r="28" spans="1:45" x14ac:dyDescent="0.3">
      <c r="A28">
        <v>1495678.42226864</v>
      </c>
      <c r="B28">
        <v>9782777.0387347005</v>
      </c>
      <c r="C28">
        <v>-3956.58</v>
      </c>
      <c r="D28">
        <v>81</v>
      </c>
      <c r="R28" s="3"/>
      <c r="S28" s="4"/>
      <c r="T28" s="6"/>
      <c r="U28" s="7"/>
      <c r="V28" s="7"/>
      <c r="W28" s="7"/>
      <c r="X28" s="4"/>
      <c r="Z28" s="7"/>
      <c r="AA28" s="7"/>
      <c r="AB28" s="4"/>
      <c r="AC28" s="4"/>
      <c r="AD28" s="4"/>
      <c r="AE28" s="4"/>
      <c r="AF28" s="4"/>
      <c r="AH28" s="9"/>
      <c r="AI28" s="9"/>
      <c r="AJ28" s="9"/>
      <c r="AK28" s="9"/>
      <c r="AM28" s="1"/>
      <c r="AR28" t="s">
        <v>206</v>
      </c>
      <c r="AS28">
        <f>SUM(AS19:AS27)</f>
        <v>11951.635000000002</v>
      </c>
    </row>
    <row r="29" spans="1:45" x14ac:dyDescent="0.3">
      <c r="A29">
        <v>1495681.1664267301</v>
      </c>
      <c r="B29">
        <v>9782775.8264656104</v>
      </c>
      <c r="C29">
        <v>-3956.56</v>
      </c>
      <c r="D29">
        <v>84</v>
      </c>
      <c r="Q29">
        <f>10116-10400</f>
        <v>-284</v>
      </c>
      <c r="R29" s="3"/>
      <c r="S29" s="4"/>
      <c r="T29" s="6" t="s">
        <v>213</v>
      </c>
      <c r="U29">
        <f>AG79</f>
        <v>31339.124419000003</v>
      </c>
      <c r="V29">
        <f>V79</f>
        <v>127050157.50527635</v>
      </c>
      <c r="W29">
        <f t="shared" ref="V29:W44" si="5">W79</f>
        <v>830840161.52000141</v>
      </c>
      <c r="Z29" s="7">
        <f>MATCH($U29,$D$1:$D$12891,1)-1</f>
        <v>123</v>
      </c>
      <c r="AA29" s="7">
        <f>Z29+1</f>
        <v>124</v>
      </c>
      <c r="AB29" s="4" cm="1">
        <f t="array" ref="AB29">INDEX($D$1:$D$12891,$Z29,0)</f>
        <v>366</v>
      </c>
      <c r="AC29" s="4" cm="1">
        <f t="array" ref="AC29">INDEX($D$1:$D$12891,$AA29,0)</f>
        <v>369</v>
      </c>
      <c r="AD29" s="4" cm="1">
        <f t="array" ref="AD29">INDEX($C$1:$C$12891,$Z29,0)</f>
        <v>-3957.51</v>
      </c>
      <c r="AE29" s="4" cm="1">
        <f t="array" ref="AE29">INDEX($C$1:$C$12891,$AA29,0)</f>
        <v>-3957.57</v>
      </c>
      <c r="AF29" s="4">
        <f>FORECAST($U29,AD29:AE29,AB29:AC29)</f>
        <v>-4576.972488379437</v>
      </c>
      <c r="AG29">
        <f t="shared" ref="AG29:AG46" si="6">AF29*0.3048</f>
        <v>-1395.0612144580525</v>
      </c>
    </row>
    <row r="30" spans="1:45" x14ac:dyDescent="0.3">
      <c r="A30">
        <v>1495683.91058483</v>
      </c>
      <c r="B30">
        <v>9782774.6141965296</v>
      </c>
      <c r="C30">
        <v>-3956.56</v>
      </c>
      <c r="D30">
        <v>87</v>
      </c>
      <c r="R30" s="3"/>
      <c r="S30" s="4"/>
      <c r="T30" s="6" t="s">
        <v>214</v>
      </c>
      <c r="U30">
        <f>AG80</f>
        <v>17143.225000000002</v>
      </c>
      <c r="V30">
        <f t="shared" si="5"/>
        <v>69499371.050644383</v>
      </c>
      <c r="W30">
        <f t="shared" si="5"/>
        <v>454488760.99864614</v>
      </c>
      <c r="Z30" s="7">
        <f>MATCH($U30,$D$1:$D$12891,1)-1</f>
        <v>123</v>
      </c>
      <c r="AA30" s="7">
        <f>Z30+1</f>
        <v>124</v>
      </c>
      <c r="AB30" s="4" cm="1">
        <f t="array" ref="AB30">INDEX($D$1:$D$12891,$Z30,0)</f>
        <v>366</v>
      </c>
      <c r="AC30" s="4" cm="1">
        <f t="array" ref="AC30">INDEX($D$1:$D$12891,$AA30,0)</f>
        <v>369</v>
      </c>
      <c r="AD30" s="4" cm="1">
        <f t="array" ref="AD30">INDEX($C$1:$C$12891,$Z30,0)</f>
        <v>-3957.51</v>
      </c>
      <c r="AE30" s="4" cm="1">
        <f t="array" ref="AE30">INDEX($C$1:$C$12891,$AA30,0)</f>
        <v>-3957.57</v>
      </c>
      <c r="AF30" s="4">
        <f>FORECAST($U30,AD30:AE30,AB30:AC30)</f>
        <v>-4293.0544999996955</v>
      </c>
      <c r="AG30">
        <f t="shared" si="6"/>
        <v>-1308.5230115999072</v>
      </c>
    </row>
    <row r="31" spans="1:45" x14ac:dyDescent="0.3">
      <c r="A31">
        <v>1495686.6547429301</v>
      </c>
      <c r="B31">
        <v>9782773.4019274395</v>
      </c>
      <c r="C31">
        <v>-3956.56</v>
      </c>
      <c r="D31">
        <v>90</v>
      </c>
      <c r="R31" s="3"/>
      <c r="S31" s="4"/>
      <c r="T31" t="s">
        <v>217</v>
      </c>
      <c r="U31">
        <f>AG81</f>
        <v>2655.218151</v>
      </c>
      <c r="V31">
        <f t="shared" si="5"/>
        <v>10764368.518569576</v>
      </c>
      <c r="W31">
        <f t="shared" si="5"/>
        <v>70393219.923853651</v>
      </c>
      <c r="Z31" s="7">
        <f t="shared" ref="Z31:Z49" si="7">MATCH($U31,$D$1:$D$12891,1)-1</f>
        <v>123</v>
      </c>
      <c r="AA31" s="7">
        <f t="shared" ref="AA31:AA46" si="8">Z31+1</f>
        <v>124</v>
      </c>
      <c r="AB31" s="4" cm="1">
        <f t="array" ref="AB31">INDEX($D$1:$D$12891,$Z31,0)</f>
        <v>366</v>
      </c>
      <c r="AC31" s="4" cm="1">
        <f t="array" ref="AC31">INDEX($D$1:$D$12891,$AA31,0)</f>
        <v>369</v>
      </c>
      <c r="AD31" s="4" cm="1">
        <f t="array" ref="AD31">INDEX($C$1:$C$12891,$Z31,0)</f>
        <v>-3957.51</v>
      </c>
      <c r="AE31" s="4" cm="1">
        <f t="array" ref="AE31">INDEX($C$1:$C$12891,$AA31,0)</f>
        <v>-3957.57</v>
      </c>
      <c r="AF31" s="4">
        <f t="shared" ref="AF31:AF46" si="9">FORECAST($U31,AD31:AE31,AB31:AC31)</f>
        <v>-4003.2943630199584</v>
      </c>
      <c r="AG31">
        <f t="shared" si="6"/>
        <v>-1220.2041218484833</v>
      </c>
    </row>
    <row r="32" spans="1:45" x14ac:dyDescent="0.3">
      <c r="A32">
        <v>1495689.39890103</v>
      </c>
      <c r="B32">
        <v>9782772.1896583606</v>
      </c>
      <c r="C32">
        <v>-3956.59</v>
      </c>
      <c r="D32">
        <v>93</v>
      </c>
      <c r="Q32" s="3"/>
      <c r="R32" s="3"/>
      <c r="S32" s="4"/>
      <c r="T32" t="s">
        <v>218</v>
      </c>
      <c r="U32">
        <f t="shared" ref="U32:U46" si="10">AG82</f>
        <v>3221.1381550000001</v>
      </c>
      <c r="V32">
        <f t="shared" si="5"/>
        <v>13058632.540827822</v>
      </c>
      <c r="W32">
        <f t="shared" si="5"/>
        <v>85396481.063009724</v>
      </c>
      <c r="Z32" s="7">
        <f t="shared" si="7"/>
        <v>123</v>
      </c>
      <c r="AA32" s="7">
        <f t="shared" si="8"/>
        <v>124</v>
      </c>
      <c r="AB32" s="4" cm="1">
        <f t="array" ref="AB32">INDEX($D$1:$D$12891,$Z32,0)</f>
        <v>366</v>
      </c>
      <c r="AC32" s="4" cm="1">
        <f t="array" ref="AC32">INDEX($D$1:$D$12891,$AA32,0)</f>
        <v>369</v>
      </c>
      <c r="AD32" s="4" cm="1">
        <f t="array" ref="AD32">INDEX($C$1:$C$12891,$Z32,0)</f>
        <v>-3957.51</v>
      </c>
      <c r="AE32" s="4" cm="1">
        <f t="array" ref="AE32">INDEX($C$1:$C$12891,$AA32,0)</f>
        <v>-3957.57</v>
      </c>
      <c r="AF32" s="4">
        <f t="shared" si="9"/>
        <v>-4014.6127630999481</v>
      </c>
      <c r="AG32">
        <f t="shared" si="6"/>
        <v>-1223.6539701928643</v>
      </c>
    </row>
    <row r="33" spans="1:33" x14ac:dyDescent="0.3">
      <c r="A33">
        <v>1495692.14305912</v>
      </c>
      <c r="B33">
        <v>9782770.9773892704</v>
      </c>
      <c r="C33">
        <v>-3956.62</v>
      </c>
      <c r="D33">
        <v>96</v>
      </c>
      <c r="Q33" s="3"/>
      <c r="R33" s="3"/>
      <c r="S33" s="4"/>
      <c r="T33" t="s">
        <v>219</v>
      </c>
      <c r="U33">
        <f t="shared" si="10"/>
        <v>5300.567054000001</v>
      </c>
      <c r="V33">
        <f t="shared" si="5"/>
        <v>21488726.681518037</v>
      </c>
      <c r="W33">
        <f t="shared" si="5"/>
        <v>140524793.494964</v>
      </c>
      <c r="Z33" s="7">
        <f t="shared" si="7"/>
        <v>123</v>
      </c>
      <c r="AA33" s="7">
        <f t="shared" si="8"/>
        <v>124</v>
      </c>
      <c r="AB33" s="4" cm="1">
        <f t="array" ref="AB33">INDEX($D$1:$D$12891,$Z33,0)</f>
        <v>366</v>
      </c>
      <c r="AC33" s="4" cm="1">
        <f t="array" ref="AC33">INDEX($D$1:$D$12891,$AA33,0)</f>
        <v>369</v>
      </c>
      <c r="AD33" s="4" cm="1">
        <f t="array" ref="AD33">INDEX($C$1:$C$12891,$Z33,0)</f>
        <v>-3957.51</v>
      </c>
      <c r="AE33" s="4" cm="1">
        <f t="array" ref="AE33">INDEX($C$1:$C$12891,$AA33,0)</f>
        <v>-3957.57</v>
      </c>
      <c r="AF33" s="4">
        <f t="shared" si="9"/>
        <v>-4056.2013410799104</v>
      </c>
      <c r="AG33">
        <f t="shared" si="6"/>
        <v>-1236.3301687611568</v>
      </c>
    </row>
    <row r="34" spans="1:33" x14ac:dyDescent="0.3">
      <c r="A34">
        <v>1495694.8872172199</v>
      </c>
      <c r="B34">
        <v>9782769.7651201803</v>
      </c>
      <c r="C34">
        <v>-3956.56</v>
      </c>
      <c r="D34">
        <v>99</v>
      </c>
      <c r="R34" s="3"/>
      <c r="S34" s="4"/>
      <c r="T34" t="s">
        <v>220</v>
      </c>
      <c r="U34">
        <f t="shared" si="10"/>
        <v>6369.8908880000008</v>
      </c>
      <c r="V34">
        <f t="shared" si="5"/>
        <v>25823811.469384007</v>
      </c>
      <c r="W34">
        <f t="shared" si="5"/>
        <v>168873932.26091859</v>
      </c>
      <c r="Z34" s="7">
        <f t="shared" si="7"/>
        <v>123</v>
      </c>
      <c r="AA34" s="7">
        <f t="shared" si="8"/>
        <v>124</v>
      </c>
      <c r="AB34" s="4" cm="1">
        <f t="array" ref="AB34">INDEX($D$1:$D$12891,$Z34,0)</f>
        <v>366</v>
      </c>
      <c r="AC34" s="4" cm="1">
        <f t="array" ref="AC34">INDEX($D$1:$D$12891,$AA34,0)</f>
        <v>369</v>
      </c>
      <c r="AD34" s="4" cm="1">
        <f t="array" ref="AD34">INDEX($C$1:$C$12891,$Z34,0)</f>
        <v>-3957.51</v>
      </c>
      <c r="AE34" s="4" cm="1">
        <f t="array" ref="AE34">INDEX($C$1:$C$12891,$AA34,0)</f>
        <v>-3957.57</v>
      </c>
      <c r="AF34" s="4">
        <f t="shared" si="9"/>
        <v>-4077.5878177598911</v>
      </c>
      <c r="AG34">
        <f t="shared" si="6"/>
        <v>-1242.8487668532148</v>
      </c>
    </row>
    <row r="35" spans="1:33" x14ac:dyDescent="0.3">
      <c r="A35">
        <v>1495697.63137532</v>
      </c>
      <c r="B35">
        <v>9782768.5528510995</v>
      </c>
      <c r="C35">
        <v>-3956.5</v>
      </c>
      <c r="D35">
        <v>102</v>
      </c>
      <c r="S35" s="4"/>
      <c r="T35" t="s">
        <v>221</v>
      </c>
      <c r="U35">
        <f t="shared" si="10"/>
        <v>7518.1818299999995</v>
      </c>
      <c r="V35">
        <f t="shared" si="5"/>
        <v>30479032.30747905</v>
      </c>
      <c r="W35">
        <f t="shared" si="5"/>
        <v>199316589.78279954</v>
      </c>
      <c r="Z35" s="7">
        <f t="shared" si="7"/>
        <v>123</v>
      </c>
      <c r="AA35" s="7">
        <f t="shared" si="8"/>
        <v>124</v>
      </c>
      <c r="AB35" s="4" cm="1">
        <f t="array" ref="AB35">INDEX($D$1:$D$12891,$Z35,0)</f>
        <v>366</v>
      </c>
      <c r="AC35" s="4" cm="1">
        <f t="array" ref="AC35">INDEX($D$1:$D$12891,$AA35,0)</f>
        <v>369</v>
      </c>
      <c r="AD35" s="4" cm="1">
        <f t="array" ref="AD35">INDEX($C$1:$C$12891,$Z35,0)</f>
        <v>-3957.51</v>
      </c>
      <c r="AE35" s="4" cm="1">
        <f t="array" ref="AE35">INDEX($C$1:$C$12891,$AA35,0)</f>
        <v>-3957.57</v>
      </c>
      <c r="AF35" s="4">
        <f t="shared" si="9"/>
        <v>-4100.5536365998705</v>
      </c>
      <c r="AG35">
        <f t="shared" si="6"/>
        <v>-1249.8487484356406</v>
      </c>
    </row>
    <row r="36" spans="1:33" x14ac:dyDescent="0.3">
      <c r="A36">
        <v>1495700.3755334199</v>
      </c>
      <c r="B36">
        <v>9782767.3405820094</v>
      </c>
      <c r="C36">
        <v>-3956.45</v>
      </c>
      <c r="D36">
        <v>105</v>
      </c>
      <c r="S36" s="4"/>
      <c r="T36" t="s">
        <v>222</v>
      </c>
      <c r="U36">
        <f t="shared" si="10"/>
        <v>10626.630759</v>
      </c>
      <c r="V36">
        <f t="shared" si="5"/>
        <v>43080817.882162295</v>
      </c>
      <c r="W36">
        <f t="shared" si="5"/>
        <v>281725535.7290132</v>
      </c>
      <c r="Z36" s="7">
        <f t="shared" si="7"/>
        <v>123</v>
      </c>
      <c r="AA36" s="7">
        <f t="shared" si="8"/>
        <v>124</v>
      </c>
      <c r="AB36" s="4" cm="1">
        <f t="array" ref="AB36">INDEX($D$1:$D$12891,$Z36,0)</f>
        <v>366</v>
      </c>
      <c r="AC36" s="4" cm="1">
        <f t="array" ref="AC36">INDEX($D$1:$D$12891,$AA36,0)</f>
        <v>369</v>
      </c>
      <c r="AD36" s="4" cm="1">
        <f t="array" ref="AD36">INDEX($C$1:$C$12891,$Z36,0)</f>
        <v>-3957.51</v>
      </c>
      <c r="AE36" s="4" cm="1">
        <f t="array" ref="AE36">INDEX($C$1:$C$12891,$AA36,0)</f>
        <v>-3957.57</v>
      </c>
      <c r="AF36" s="4">
        <f t="shared" si="9"/>
        <v>-4162.7226151798131</v>
      </c>
      <c r="AG36">
        <f t="shared" si="6"/>
        <v>-1268.7978531068072</v>
      </c>
    </row>
    <row r="37" spans="1:33" x14ac:dyDescent="0.3">
      <c r="A37">
        <v>1495703.11969151</v>
      </c>
      <c r="B37">
        <v>9782766.1283129305</v>
      </c>
      <c r="C37">
        <v>-3956.4</v>
      </c>
      <c r="D37">
        <v>108</v>
      </c>
      <c r="S37" s="4"/>
      <c r="T37" t="s">
        <v>223</v>
      </c>
      <c r="U37">
        <f t="shared" si="10"/>
        <v>13933.324270000001</v>
      </c>
      <c r="V37">
        <f t="shared" si="5"/>
        <v>56486295.513806693</v>
      </c>
      <c r="W37">
        <f t="shared" si="5"/>
        <v>369390198.4057647</v>
      </c>
      <c r="Z37" s="7">
        <f t="shared" si="7"/>
        <v>123</v>
      </c>
      <c r="AA37" s="7">
        <f t="shared" si="8"/>
        <v>124</v>
      </c>
      <c r="AB37" s="4" cm="1">
        <f t="array" ref="AB37">INDEX($D$1:$D$12891,$Z37,0)</f>
        <v>366</v>
      </c>
      <c r="AC37" s="4" cm="1">
        <f t="array" ref="AC37">INDEX($D$1:$D$12891,$AA37,0)</f>
        <v>369</v>
      </c>
      <c r="AD37" s="4" cm="1">
        <f t="array" ref="AD37">INDEX($C$1:$C$12891,$Z37,0)</f>
        <v>-3957.51</v>
      </c>
      <c r="AE37" s="4" cm="1">
        <f t="array" ref="AE37">INDEX($C$1:$C$12891,$AA37,0)</f>
        <v>-3957.57</v>
      </c>
      <c r="AF37" s="4">
        <f t="shared" si="9"/>
        <v>-4228.8564853997532</v>
      </c>
      <c r="AG37">
        <f t="shared" si="6"/>
        <v>-1288.9554567498449</v>
      </c>
    </row>
    <row r="38" spans="1:33" x14ac:dyDescent="0.3">
      <c r="A38">
        <v>1495705.8638496101</v>
      </c>
      <c r="B38">
        <v>9782764.9160438403</v>
      </c>
      <c r="C38">
        <v>-3956.35</v>
      </c>
      <c r="D38">
        <v>111</v>
      </c>
      <c r="S38" s="4"/>
      <c r="T38" t="s">
        <v>224</v>
      </c>
      <c r="U38">
        <f t="shared" si="10"/>
        <v>17317.856225000003</v>
      </c>
      <c r="V38">
        <f t="shared" si="5"/>
        <v>70207333.543308616</v>
      </c>
      <c r="W38">
        <f t="shared" si="5"/>
        <v>459118457.51618743</v>
      </c>
      <c r="Z38" s="7">
        <f t="shared" si="7"/>
        <v>123</v>
      </c>
      <c r="AA38" s="7">
        <f t="shared" si="8"/>
        <v>124</v>
      </c>
      <c r="AB38" s="4" cm="1">
        <f t="array" ref="AB38">INDEX($D$1:$D$12891,$Z38,0)</f>
        <v>366</v>
      </c>
      <c r="AC38" s="4" cm="1">
        <f t="array" ref="AC38">INDEX($D$1:$D$12891,$AA38,0)</f>
        <v>369</v>
      </c>
      <c r="AD38" s="4" cm="1">
        <f t="array" ref="AD38">INDEX($C$1:$C$12891,$Z38,0)</f>
        <v>-3957.51</v>
      </c>
      <c r="AE38" s="4" cm="1">
        <f t="array" ref="AE38">INDEX($C$1:$C$12891,$AA38,0)</f>
        <v>-3957.57</v>
      </c>
      <c r="AF38" s="4">
        <f t="shared" si="9"/>
        <v>-4296.5471244996916</v>
      </c>
      <c r="AG38">
        <f t="shared" si="6"/>
        <v>-1309.5875635475061</v>
      </c>
    </row>
    <row r="39" spans="1:33" x14ac:dyDescent="0.3">
      <c r="A39">
        <v>1495708.60800771</v>
      </c>
      <c r="B39">
        <v>9782763.7037747595</v>
      </c>
      <c r="C39">
        <v>-3956.28</v>
      </c>
      <c r="D39">
        <v>114</v>
      </c>
      <c r="S39" s="4"/>
      <c r="T39" s="39" t="s">
        <v>225</v>
      </c>
      <c r="U39" s="39">
        <f t="shared" si="10"/>
        <v>23625.267030000003</v>
      </c>
      <c r="V39">
        <f t="shared" si="5"/>
        <v>95777848.070507467</v>
      </c>
      <c r="W39">
        <f t="shared" si="5"/>
        <v>626335963.08319259</v>
      </c>
      <c r="Z39" s="7">
        <f t="shared" si="7"/>
        <v>123</v>
      </c>
      <c r="AA39" s="7">
        <f t="shared" si="8"/>
        <v>124</v>
      </c>
      <c r="AB39" s="4" cm="1">
        <f t="array" ref="AB39">INDEX($D$1:$D$12891,$Z39,0)</f>
        <v>366</v>
      </c>
      <c r="AC39" s="4" cm="1">
        <f t="array" ref="AC39">INDEX($D$1:$D$12891,$AA39,0)</f>
        <v>369</v>
      </c>
      <c r="AD39" s="4" cm="1">
        <f t="array" ref="AD39">INDEX($C$1:$C$12891,$Z39,0)</f>
        <v>-3957.51</v>
      </c>
      <c r="AE39" s="4" cm="1">
        <f t="array" ref="AE39">INDEX($C$1:$C$12891,$AA39,0)</f>
        <v>-3957.57</v>
      </c>
      <c r="AF39" s="4">
        <f t="shared" si="9"/>
        <v>-4422.6953405995773</v>
      </c>
      <c r="AG39">
        <f t="shared" si="6"/>
        <v>-1348.0375398147512</v>
      </c>
    </row>
    <row r="40" spans="1:33" x14ac:dyDescent="0.3">
      <c r="A40">
        <v>1495711.3521658101</v>
      </c>
      <c r="B40">
        <v>9782762.4915056694</v>
      </c>
      <c r="C40">
        <v>-3956.2</v>
      </c>
      <c r="D40">
        <v>117</v>
      </c>
      <c r="S40" s="4"/>
      <c r="T40" s="39" t="s">
        <v>226</v>
      </c>
      <c r="U40" s="39">
        <f t="shared" si="10"/>
        <v>26675.491333000002</v>
      </c>
      <c r="V40">
        <f t="shared" si="5"/>
        <v>108143588.50860415</v>
      </c>
      <c r="W40">
        <f t="shared" si="5"/>
        <v>707201299.92841446</v>
      </c>
      <c r="Z40" s="7">
        <f t="shared" si="7"/>
        <v>123</v>
      </c>
      <c r="AA40" s="7">
        <f t="shared" si="8"/>
        <v>124</v>
      </c>
      <c r="AB40" s="4" cm="1">
        <f t="array" ref="AB40">INDEX($D$1:$D$12891,$Z40,0)</f>
        <v>366</v>
      </c>
      <c r="AC40" s="4" cm="1">
        <f t="array" ref="AC40">INDEX($D$1:$D$12891,$AA40,0)</f>
        <v>369</v>
      </c>
      <c r="AD40" s="4" cm="1">
        <f t="array" ref="AD40">INDEX($C$1:$C$12891,$Z40,0)</f>
        <v>-3957.51</v>
      </c>
      <c r="AE40" s="4" cm="1">
        <f t="array" ref="AE40">INDEX($C$1:$C$12891,$AA40,0)</f>
        <v>-3957.57</v>
      </c>
      <c r="AF40" s="4">
        <f t="shared" si="9"/>
        <v>-4483.6998266595219</v>
      </c>
      <c r="AG40">
        <f t="shared" si="6"/>
        <v>-1366.6317071658223</v>
      </c>
    </row>
    <row r="41" spans="1:33" x14ac:dyDescent="0.3">
      <c r="A41">
        <v>1495714.0963239099</v>
      </c>
      <c r="B41">
        <v>9782761.2792365905</v>
      </c>
      <c r="C41">
        <v>-3956.17</v>
      </c>
      <c r="D41">
        <v>120</v>
      </c>
      <c r="S41" s="4"/>
      <c r="T41" t="s">
        <v>227</v>
      </c>
      <c r="U41">
        <f t="shared" si="10"/>
        <v>27768.359623</v>
      </c>
      <c r="V41">
        <f t="shared" si="5"/>
        <v>112574123.53315134</v>
      </c>
      <c r="W41">
        <f t="shared" si="5"/>
        <v>736174632.25397217</v>
      </c>
      <c r="Z41" s="7">
        <f t="shared" si="7"/>
        <v>123</v>
      </c>
      <c r="AA41" s="7">
        <f t="shared" si="8"/>
        <v>124</v>
      </c>
      <c r="AB41" s="4" cm="1">
        <f t="array" ref="AB41">INDEX($D$1:$D$12891,$Z41,0)</f>
        <v>366</v>
      </c>
      <c r="AC41" s="4" cm="1">
        <f t="array" ref="AC41">INDEX($D$1:$D$12891,$AA41,0)</f>
        <v>369</v>
      </c>
      <c r="AD41" s="4" cm="1">
        <f t="array" ref="AD41">INDEX($C$1:$C$12891,$Z41,0)</f>
        <v>-3957.51</v>
      </c>
      <c r="AE41" s="4" cm="1">
        <f t="array" ref="AE41">INDEX($C$1:$C$12891,$AA41,0)</f>
        <v>-3957.57</v>
      </c>
      <c r="AF41" s="4">
        <f t="shared" si="9"/>
        <v>-4505.5571924595015</v>
      </c>
      <c r="AG41">
        <f t="shared" si="6"/>
        <v>-1373.2938322616562</v>
      </c>
    </row>
    <row r="42" spans="1:33" x14ac:dyDescent="0.3">
      <c r="A42">
        <v>1495716.840482</v>
      </c>
      <c r="B42">
        <v>9782760.0669675004</v>
      </c>
      <c r="C42">
        <v>-3956.18</v>
      </c>
      <c r="D42">
        <v>123</v>
      </c>
      <c r="S42" s="4"/>
      <c r="T42" t="s">
        <v>228</v>
      </c>
      <c r="U42">
        <f t="shared" si="10"/>
        <v>29520.259416000001</v>
      </c>
      <c r="V42">
        <f t="shared" si="5"/>
        <v>119676400.59929579</v>
      </c>
      <c r="W42">
        <f t="shared" si="5"/>
        <v>782619730.32124674</v>
      </c>
      <c r="Z42" s="7">
        <f t="shared" si="7"/>
        <v>123</v>
      </c>
      <c r="AA42" s="7">
        <f t="shared" si="8"/>
        <v>124</v>
      </c>
      <c r="AB42" s="4" cm="1">
        <f t="array" ref="AB42">INDEX($D$1:$D$12891,$Z42,0)</f>
        <v>366</v>
      </c>
      <c r="AC42" s="4" cm="1">
        <f t="array" ref="AC42">INDEX($D$1:$D$12891,$AA42,0)</f>
        <v>369</v>
      </c>
      <c r="AD42" s="4" cm="1">
        <f t="array" ref="AD42">INDEX($C$1:$C$12891,$Z42,0)</f>
        <v>-3957.51</v>
      </c>
      <c r="AE42" s="4" cm="1">
        <f t="array" ref="AE42">INDEX($C$1:$C$12891,$AA42,0)</f>
        <v>-3957.57</v>
      </c>
      <c r="AF42" s="4">
        <f t="shared" si="9"/>
        <v>-4540.5951883194703</v>
      </c>
      <c r="AG42">
        <f t="shared" si="6"/>
        <v>-1383.9734133997747</v>
      </c>
    </row>
    <row r="43" spans="1:33" x14ac:dyDescent="0.3">
      <c r="A43">
        <v>1495719.5846400999</v>
      </c>
      <c r="B43">
        <v>9782758.8546984196</v>
      </c>
      <c r="C43">
        <v>-3956.2</v>
      </c>
      <c r="D43">
        <v>126</v>
      </c>
      <c r="S43" s="4"/>
      <c r="T43" t="s">
        <v>229</v>
      </c>
      <c r="U43">
        <f t="shared" si="10"/>
        <v>31176.816630000001</v>
      </c>
      <c r="V43">
        <f t="shared" si="5"/>
        <v>126392154.75187838</v>
      </c>
      <c r="W43">
        <f t="shared" si="5"/>
        <v>826537175.00940955</v>
      </c>
      <c r="Z43" s="7">
        <f t="shared" si="7"/>
        <v>123</v>
      </c>
      <c r="AA43" s="7">
        <f t="shared" si="8"/>
        <v>124</v>
      </c>
      <c r="AB43" s="4" cm="1">
        <f t="array" ref="AB43">INDEX($D$1:$D$12891,$Z43,0)</f>
        <v>366</v>
      </c>
      <c r="AC43" s="4" cm="1">
        <f t="array" ref="AC43">INDEX($D$1:$D$12891,$AA43,0)</f>
        <v>369</v>
      </c>
      <c r="AD43" s="4" cm="1">
        <f t="array" ref="AD43">INDEX($C$1:$C$12891,$Z43,0)</f>
        <v>-3957.51</v>
      </c>
      <c r="AE43" s="4" cm="1">
        <f t="array" ref="AE43">INDEX($C$1:$C$12891,$AA43,0)</f>
        <v>-3957.57</v>
      </c>
      <c r="AF43" s="4">
        <f t="shared" si="9"/>
        <v>-4573.72633259944</v>
      </c>
      <c r="AG43">
        <f t="shared" si="6"/>
        <v>-1394.0717861763094</v>
      </c>
    </row>
    <row r="44" spans="1:33" x14ac:dyDescent="0.3">
      <c r="A44">
        <v>1495722.3287982</v>
      </c>
      <c r="B44">
        <v>9782757.6424293295</v>
      </c>
      <c r="C44">
        <v>-3956.22</v>
      </c>
      <c r="D44">
        <v>129</v>
      </c>
      <c r="S44" s="4"/>
      <c r="T44" s="2" t="s">
        <v>230</v>
      </c>
      <c r="U44" s="2">
        <f t="shared" si="10"/>
        <v>32551.516258000003</v>
      </c>
      <c r="V44" s="2">
        <f t="shared" si="5"/>
        <v>131965246.13518316</v>
      </c>
      <c r="W44" s="2">
        <f t="shared" si="5"/>
        <v>862982215.58229017</v>
      </c>
      <c r="X44" s="2"/>
      <c r="Y44" s="2"/>
      <c r="Z44" s="42">
        <f t="shared" si="7"/>
        <v>123</v>
      </c>
      <c r="AA44" s="42">
        <f t="shared" si="8"/>
        <v>124</v>
      </c>
      <c r="AB44" s="43" cm="1">
        <f t="array" ref="AB44">INDEX($D$1:$D$12891,$Z44,0)</f>
        <v>366</v>
      </c>
      <c r="AC44" s="43" cm="1">
        <f t="array" ref="AC44">INDEX($D$1:$D$12891,$AA44,0)</f>
        <v>369</v>
      </c>
      <c r="AD44" s="43" cm="1">
        <f t="array" ref="AD44">INDEX($C$1:$C$12891,$Z44,0)</f>
        <v>-3957.51</v>
      </c>
      <c r="AE44" s="43" cm="1">
        <f t="array" ref="AE44">INDEX($C$1:$C$12891,$AA44,0)</f>
        <v>-3957.57</v>
      </c>
      <c r="AF44" s="43">
        <f t="shared" si="9"/>
        <v>-4601.2203251594146</v>
      </c>
      <c r="AG44" s="2">
        <f t="shared" si="6"/>
        <v>-1402.4519551085896</v>
      </c>
    </row>
    <row r="45" spans="1:33" x14ac:dyDescent="0.3">
      <c r="A45">
        <v>1495725.0729563001</v>
      </c>
      <c r="B45">
        <v>9782756.4301602505</v>
      </c>
      <c r="C45">
        <v>-3956.24</v>
      </c>
      <c r="D45">
        <v>132</v>
      </c>
      <c r="S45" s="4"/>
      <c r="T45" s="2" t="s">
        <v>231</v>
      </c>
      <c r="U45" s="2">
        <f t="shared" si="10"/>
        <v>34340.310895999995</v>
      </c>
      <c r="V45" s="2">
        <f t="shared" ref="V45:W46" si="11">V95</f>
        <v>139217096.48888057</v>
      </c>
      <c r="W45" s="2">
        <f t="shared" si="11"/>
        <v>910405443.05002964</v>
      </c>
      <c r="X45" s="2"/>
      <c r="Y45" s="2"/>
      <c r="Z45" s="42">
        <f t="shared" si="7"/>
        <v>123</v>
      </c>
      <c r="AA45" s="42">
        <f t="shared" si="8"/>
        <v>124</v>
      </c>
      <c r="AB45" s="43" cm="1">
        <f t="array" ref="AB45">INDEX($D$1:$D$12891,$Z45,0)</f>
        <v>366</v>
      </c>
      <c r="AC45" s="43" cm="1">
        <f t="array" ref="AC45">INDEX($D$1:$D$12891,$AA45,0)</f>
        <v>369</v>
      </c>
      <c r="AD45" s="43" cm="1">
        <f t="array" ref="AD45">INDEX($C$1:$C$12891,$Z45,0)</f>
        <v>-3957.51</v>
      </c>
      <c r="AE45" s="43" cm="1">
        <f t="array" ref="AE45">INDEX($C$1:$C$12891,$AA45,0)</f>
        <v>-3957.57</v>
      </c>
      <c r="AF45" s="43">
        <f t="shared" si="9"/>
        <v>-4636.9962179193826</v>
      </c>
      <c r="AG45" s="2">
        <f t="shared" si="6"/>
        <v>-1413.3564472218279</v>
      </c>
    </row>
    <row r="46" spans="1:33" x14ac:dyDescent="0.3">
      <c r="A46">
        <v>1495727.81711439</v>
      </c>
      <c r="B46">
        <v>9782755.2178911604</v>
      </c>
      <c r="C46">
        <v>-3956.25</v>
      </c>
      <c r="D46">
        <v>135</v>
      </c>
      <c r="S46" s="4"/>
      <c r="T46" t="s">
        <v>232</v>
      </c>
      <c r="U46">
        <f t="shared" si="10"/>
        <v>35439.121076999996</v>
      </c>
      <c r="V46">
        <f t="shared" si="11"/>
        <v>143671720.19495368</v>
      </c>
      <c r="W46">
        <f t="shared" si="11"/>
        <v>939536302.48490191</v>
      </c>
      <c r="Z46" s="7">
        <f t="shared" si="7"/>
        <v>123</v>
      </c>
      <c r="AA46" s="7">
        <f t="shared" si="8"/>
        <v>124</v>
      </c>
      <c r="AB46" s="4" cm="1">
        <f t="array" ref="AB46">INDEX($D$1:$D$12891,$Z46,0)</f>
        <v>366</v>
      </c>
      <c r="AC46" s="4" cm="1">
        <f t="array" ref="AC46">INDEX($D$1:$D$12891,$AA46,0)</f>
        <v>369</v>
      </c>
      <c r="AD46" s="4" cm="1">
        <f t="array" ref="AD46">INDEX($C$1:$C$12891,$Z46,0)</f>
        <v>-3957.51</v>
      </c>
      <c r="AE46" s="4" cm="1">
        <f t="array" ref="AE46">INDEX($C$1:$C$12891,$AA46,0)</f>
        <v>-3957.57</v>
      </c>
      <c r="AF46" s="4">
        <f t="shared" si="9"/>
        <v>-4658.9724215393617</v>
      </c>
      <c r="AG46">
        <f t="shared" si="6"/>
        <v>-1420.0547940851975</v>
      </c>
    </row>
    <row r="47" spans="1:33" x14ac:dyDescent="0.3">
      <c r="A47">
        <v>1495730.5612724901</v>
      </c>
      <c r="B47">
        <v>9782754.0056220796</v>
      </c>
      <c r="C47">
        <v>-3956.24</v>
      </c>
      <c r="D47">
        <v>138</v>
      </c>
      <c r="S47" s="4"/>
      <c r="T47" t="s">
        <v>233</v>
      </c>
      <c r="U47">
        <f t="shared" ref="U47:U49" si="12">AG97</f>
        <v>496.82542500000005</v>
      </c>
      <c r="V47">
        <f t="shared" ref="V47:W47" si="13">V97</f>
        <v>2014151.6289653257</v>
      </c>
      <c r="W47">
        <f t="shared" si="13"/>
        <v>13171475.719467942</v>
      </c>
      <c r="Z47" s="7">
        <f t="shared" si="7"/>
        <v>123</v>
      </c>
      <c r="AA47" s="7">
        <f t="shared" ref="AA47:AA49" si="14">Z47+1</f>
        <v>124</v>
      </c>
      <c r="AB47" s="4" cm="1">
        <f t="array" ref="AB47">INDEX($D$1:$D$12891,$Z47,0)</f>
        <v>366</v>
      </c>
      <c r="AC47" s="4" cm="1">
        <f t="array" ref="AC47">INDEX($D$1:$D$12891,$AA47,0)</f>
        <v>369</v>
      </c>
      <c r="AD47" s="4" cm="1">
        <f t="array" ref="AD47">INDEX($C$1:$C$12891,$Z47,0)</f>
        <v>-3957.51</v>
      </c>
      <c r="AE47" s="4" cm="1">
        <f t="array" ref="AE47">INDEX($C$1:$C$12891,$AA47,0)</f>
        <v>-3957.57</v>
      </c>
      <c r="AF47" s="4">
        <f t="shared" ref="AF47:AF50" si="15">FORECAST($U47,AD47:AE47,AB47:AC47)</f>
        <v>-3960.1265084999977</v>
      </c>
      <c r="AG47">
        <f t="shared" ref="AG47:AG50" si="16">AF47*0.3048</f>
        <v>-1207.0465597907994</v>
      </c>
    </row>
    <row r="48" spans="1:33" x14ac:dyDescent="0.3">
      <c r="A48">
        <v>1495733.3054305899</v>
      </c>
      <c r="B48">
        <v>9782752.7933529895</v>
      </c>
      <c r="C48">
        <v>-3956.21</v>
      </c>
      <c r="D48">
        <v>141</v>
      </c>
      <c r="S48" s="4"/>
      <c r="T48" t="s">
        <v>234</v>
      </c>
      <c r="U48">
        <f t="shared" si="12"/>
        <v>9242.2653050000008</v>
      </c>
      <c r="V48">
        <f t="shared" ref="V48:W48" si="17">V98</f>
        <v>37468540.824768499</v>
      </c>
      <c r="W48">
        <f t="shared" si="17"/>
        <v>245024241.78007489</v>
      </c>
      <c r="Z48" s="7">
        <f t="shared" si="7"/>
        <v>123</v>
      </c>
      <c r="AA48" s="7">
        <f t="shared" si="14"/>
        <v>124</v>
      </c>
      <c r="AB48" s="4" cm="1">
        <f t="array" ref="AB48">INDEX($D$1:$D$12891,$Z48,0)</f>
        <v>366</v>
      </c>
      <c r="AC48" s="4" cm="1">
        <f t="array" ref="AC48">INDEX($D$1:$D$12891,$AA48,0)</f>
        <v>369</v>
      </c>
      <c r="AD48" s="4" cm="1">
        <f t="array" ref="AD48">INDEX($C$1:$C$12891,$Z48,0)</f>
        <v>-3957.51</v>
      </c>
      <c r="AE48" s="4" cm="1">
        <f t="array" ref="AE48">INDEX($C$1:$C$12891,$AA48,0)</f>
        <v>-3957.57</v>
      </c>
      <c r="AF48" s="4">
        <f t="shared" si="15"/>
        <v>-4135.0353060998386</v>
      </c>
      <c r="AG48">
        <f t="shared" si="16"/>
        <v>-1260.358761299231</v>
      </c>
    </row>
    <row r="49" spans="1:39" x14ac:dyDescent="0.3">
      <c r="A49">
        <v>1495736.04958869</v>
      </c>
      <c r="B49">
        <v>9782751.5810839105</v>
      </c>
      <c r="C49">
        <v>-3956.18</v>
      </c>
      <c r="D49">
        <v>144</v>
      </c>
      <c r="S49" s="4"/>
      <c r="T49" s="3" t="s">
        <v>235</v>
      </c>
      <c r="U49">
        <f t="shared" si="12"/>
        <v>37889.306257000004</v>
      </c>
      <c r="V49">
        <f t="shared" ref="V49:W49" si="18">V99</f>
        <v>153604876.23575756</v>
      </c>
      <c r="W49">
        <f t="shared" si="18"/>
        <v>1004493836.827212</v>
      </c>
      <c r="Z49" s="7">
        <f t="shared" si="7"/>
        <v>123</v>
      </c>
      <c r="AA49" s="7">
        <f t="shared" si="14"/>
        <v>124</v>
      </c>
      <c r="AB49" s="4" cm="1">
        <f t="array" ref="AB49">INDEX($D$1:$D$12891,$Z49,0)</f>
        <v>366</v>
      </c>
      <c r="AC49" s="4" cm="1">
        <f t="array" ref="AC49">INDEX($D$1:$D$12891,$AA49,0)</f>
        <v>369</v>
      </c>
      <c r="AD49" s="4" cm="1">
        <f t="array" ref="AD49">INDEX($C$1:$C$12891,$Z49,0)</f>
        <v>-3957.51</v>
      </c>
      <c r="AE49" s="4" cm="1">
        <f t="array" ref="AE49">INDEX($C$1:$C$12891,$AA49,0)</f>
        <v>-3957.57</v>
      </c>
      <c r="AF49" s="4">
        <f t="shared" si="15"/>
        <v>-4707.9761251393174</v>
      </c>
      <c r="AG49">
        <f t="shared" si="16"/>
        <v>-1434.991122942464</v>
      </c>
    </row>
    <row r="50" spans="1:39" x14ac:dyDescent="0.3">
      <c r="A50">
        <v>1495738.7937467799</v>
      </c>
      <c r="B50">
        <v>9782750.3688148204</v>
      </c>
      <c r="C50">
        <v>-3956.18</v>
      </c>
      <c r="D50">
        <v>147</v>
      </c>
      <c r="T50" s="3" t="s">
        <v>189</v>
      </c>
      <c r="U50" s="3">
        <f>AG78</f>
        <v>3576.29</v>
      </c>
      <c r="V50">
        <f>V78</f>
        <v>14498433.386641603</v>
      </c>
      <c r="W50">
        <f>W78</f>
        <v>94812009.471487895</v>
      </c>
      <c r="Z50" s="7">
        <f>MATCH($U50,$D$1:$D$12891,1)-1</f>
        <v>123</v>
      </c>
      <c r="AA50" s="7">
        <f>Z50+1</f>
        <v>124</v>
      </c>
      <c r="AB50" s="4" cm="1">
        <f t="array" ref="AB50">INDEX($D$1:$D$12891,$Z50,0)</f>
        <v>366</v>
      </c>
      <c r="AC50" s="4" cm="1">
        <f t="array" ref="AC50">INDEX($D$1:$D$12891,$AA50,0)</f>
        <v>369</v>
      </c>
      <c r="AD50" s="4" cm="1">
        <f t="array" ref="AD50">INDEX($C$1:$C$12891,$Z50,0)</f>
        <v>-3957.51</v>
      </c>
      <c r="AE50" s="4" cm="1">
        <f t="array" ref="AE50">INDEX($C$1:$C$12891,$AA50,0)</f>
        <v>-3957.57</v>
      </c>
      <c r="AF50" s="4">
        <f t="shared" si="15"/>
        <v>-4021.7157999999417</v>
      </c>
      <c r="AG50">
        <f t="shared" si="16"/>
        <v>-1225.8189758399824</v>
      </c>
    </row>
    <row r="51" spans="1:39" x14ac:dyDescent="0.3">
      <c r="A51">
        <v>1495741.53790488</v>
      </c>
      <c r="B51">
        <v>9782749.1565457303</v>
      </c>
      <c r="C51">
        <v>-3956.18</v>
      </c>
      <c r="D51">
        <v>150</v>
      </c>
    </row>
    <row r="52" spans="1:39" x14ac:dyDescent="0.3">
      <c r="A52">
        <v>1495744.2820629801</v>
      </c>
      <c r="B52">
        <v>9782747.9442766495</v>
      </c>
      <c r="C52">
        <v>-3956.19</v>
      </c>
      <c r="D52">
        <v>153</v>
      </c>
    </row>
    <row r="53" spans="1:39" x14ac:dyDescent="0.3">
      <c r="A53">
        <v>1495747.02622108</v>
      </c>
      <c r="B53">
        <v>9782746.7320075594</v>
      </c>
      <c r="C53">
        <v>-3956.21</v>
      </c>
      <c r="D53">
        <v>156</v>
      </c>
    </row>
    <row r="54" spans="1:39" x14ac:dyDescent="0.3">
      <c r="A54">
        <v>1495749.7703791701</v>
      </c>
      <c r="B54">
        <v>9782745.5197384804</v>
      </c>
      <c r="C54">
        <v>-3956.23</v>
      </c>
      <c r="D54">
        <v>159</v>
      </c>
    </row>
    <row r="55" spans="1:39" x14ac:dyDescent="0.3">
      <c r="A55">
        <v>1495752.5145372699</v>
      </c>
      <c r="B55">
        <v>9782744.3074693903</v>
      </c>
      <c r="C55">
        <v>-3956.24</v>
      </c>
      <c r="D55">
        <v>162</v>
      </c>
    </row>
    <row r="56" spans="1:39" x14ac:dyDescent="0.3">
      <c r="A56">
        <v>1495755.2586953701</v>
      </c>
      <c r="B56">
        <v>9782743.0952003095</v>
      </c>
      <c r="C56">
        <v>-3956.24</v>
      </c>
      <c r="D56">
        <v>165</v>
      </c>
    </row>
    <row r="57" spans="1:39" x14ac:dyDescent="0.3">
      <c r="A57">
        <v>1495758.0028534699</v>
      </c>
      <c r="B57">
        <v>9782741.8829312194</v>
      </c>
      <c r="C57">
        <v>-3956.23</v>
      </c>
      <c r="D57">
        <v>168</v>
      </c>
      <c r="Y57" t="s">
        <v>197</v>
      </c>
      <c r="Z57" t="s">
        <v>199</v>
      </c>
      <c r="AA57" t="s">
        <v>208</v>
      </c>
      <c r="AB57" t="s">
        <v>209</v>
      </c>
      <c r="AC57" t="s">
        <v>210</v>
      </c>
      <c r="AD57" t="s">
        <v>211</v>
      </c>
      <c r="AE57" t="s">
        <v>200</v>
      </c>
      <c r="AF57" t="s">
        <v>201</v>
      </c>
      <c r="AG57" t="s">
        <v>212</v>
      </c>
    </row>
    <row r="58" spans="1:39" x14ac:dyDescent="0.3">
      <c r="A58">
        <v>1495760.74701157</v>
      </c>
      <c r="B58">
        <v>9782740.6706621405</v>
      </c>
      <c r="C58">
        <v>-3956.21</v>
      </c>
      <c r="D58">
        <v>171</v>
      </c>
      <c r="U58" s="11" t="s">
        <v>53</v>
      </c>
      <c r="V58" s="11">
        <v>1495604.33</v>
      </c>
      <c r="W58" s="11">
        <v>9782809.7699999996</v>
      </c>
      <c r="Y58">
        <f>MATCH($V58,A$1:A$129290,1)</f>
        <v>1</v>
      </c>
      <c r="Z58">
        <f>Y58+1</f>
        <v>2</v>
      </c>
      <c r="AA58" cm="1">
        <f t="array" ref="AA58">INDEX(A$1:A$129290,$Y58,0)</f>
        <v>1495604.33</v>
      </c>
      <c r="AB58" cm="1">
        <f t="array" ref="AB58">INDEX(A$1:A$129290,$Z58,0)</f>
        <v>1495607.0741580999</v>
      </c>
      <c r="AC58" cm="1">
        <f t="array" ref="AC58">INDEX(B$1:B$129290,$Y58,0)</f>
        <v>9782809.7699999996</v>
      </c>
      <c r="AD58" cm="1">
        <f t="array" ref="AD58">INDEX(B$1:B$129290,$Z58,0)</f>
        <v>9782808.5577309206</v>
      </c>
      <c r="AE58" cm="1">
        <f t="array" ref="AE58">INDEX(D$1:D$129290,$Y58,0)</f>
        <v>0</v>
      </c>
      <c r="AF58" cm="1">
        <f t="array" ref="AF58">INDEX(D$1:D$129290,$Z58,0)</f>
        <v>3</v>
      </c>
      <c r="AG58">
        <f>AE58</f>
        <v>0</v>
      </c>
    </row>
    <row r="59" spans="1:39" x14ac:dyDescent="0.3">
      <c r="A59">
        <v>1495763.4911696599</v>
      </c>
      <c r="B59">
        <v>9782739.4583930504</v>
      </c>
      <c r="C59">
        <v>-3956.2</v>
      </c>
      <c r="D59">
        <v>174</v>
      </c>
      <c r="U59" s="11" t="s">
        <v>54</v>
      </c>
      <c r="V59" s="11">
        <v>1504706.9</v>
      </c>
      <c r="W59" s="11">
        <v>9778788.5800000001</v>
      </c>
      <c r="Y59">
        <f t="shared" ref="Y59:Y72" si="19">MATCH($V59,A$1:A$129290,1)</f>
        <v>124</v>
      </c>
      <c r="Z59">
        <f t="shared" ref="Z59:Z69" si="20">Y59+1</f>
        <v>125</v>
      </c>
      <c r="AA59" cm="1">
        <f t="array" ref="AA59">INDEX(A$1:A$129290,$Y59,0)</f>
        <v>1495941.8614460099</v>
      </c>
      <c r="AB59" cm="1">
        <f t="array" ref="AB59">INDEX(A$1:A$129290,$Z59,0)</f>
        <v>0</v>
      </c>
      <c r="AC59" cm="1">
        <f t="array" ref="AC59">INDEX(B$1:B$129290,$Y59,0)</f>
        <v>9782660.6609025095</v>
      </c>
      <c r="AD59" cm="1">
        <f t="array" ref="AD59">INDEX(B$1:B$129290,$Z59,0)</f>
        <v>0</v>
      </c>
      <c r="AE59" cm="1">
        <f t="array" ref="AE59">INDEX(D$1:D$129290,$Y59,0)</f>
        <v>369</v>
      </c>
      <c r="AF59" cm="1">
        <f t="array" ref="AF59">INDEX(D$1:D$129290,$Z59,0)</f>
        <v>0</v>
      </c>
      <c r="AG59">
        <f>FORECAST(V59,AE59:AF59,AA59:AB59)</f>
        <v>371.16204874653079</v>
      </c>
    </row>
    <row r="60" spans="1:39" x14ac:dyDescent="0.3">
      <c r="A60">
        <v>1495766.23532776</v>
      </c>
      <c r="B60">
        <v>9782738.2461239696</v>
      </c>
      <c r="C60">
        <v>-3956.2</v>
      </c>
      <c r="D60">
        <v>177</v>
      </c>
      <c r="U60" s="11" t="s">
        <v>51</v>
      </c>
      <c r="V60" s="11">
        <v>1505039.26</v>
      </c>
      <c r="W60" s="11">
        <v>9778641.7599999998</v>
      </c>
      <c r="Y60">
        <f t="shared" si="19"/>
        <v>124</v>
      </c>
      <c r="Z60">
        <f t="shared" si="20"/>
        <v>125</v>
      </c>
      <c r="AA60" cm="1">
        <f t="array" ref="AA60">INDEX(A$1:A$129290,$Y60,0)</f>
        <v>1495941.8614460099</v>
      </c>
      <c r="AB60" cm="1">
        <f t="array" ref="AB60">INDEX(A$1:A$129290,$Z60,0)</f>
        <v>0</v>
      </c>
      <c r="AC60" cm="1">
        <f t="array" ref="AC60">INDEX(B$1:B$129290,$Y60,0)</f>
        <v>9782660.6609025095</v>
      </c>
      <c r="AD60" cm="1">
        <f t="array" ref="AD60">INDEX(B$1:B$129290,$Z60,0)</f>
        <v>0</v>
      </c>
      <c r="AE60" cm="1">
        <f t="array" ref="AE60">INDEX(D$1:D$129290,$Y60,0)</f>
        <v>369</v>
      </c>
      <c r="AF60" cm="1">
        <f t="array" ref="AF60">INDEX(D$1:D$129290,$Z60,0)</f>
        <v>0</v>
      </c>
      <c r="AG60">
        <f t="shared" ref="AG60:AG69" si="21">FORECAST(V60,AE60:AF60,AA60:AB60)</f>
        <v>371.24403110370707</v>
      </c>
    </row>
    <row r="61" spans="1:39" x14ac:dyDescent="0.3">
      <c r="A61">
        <v>1495768.9794858601</v>
      </c>
      <c r="B61">
        <v>9782737.0338548794</v>
      </c>
      <c r="C61">
        <v>-3956.19</v>
      </c>
      <c r="D61">
        <v>180</v>
      </c>
      <c r="U61" t="s">
        <v>55</v>
      </c>
      <c r="V61">
        <v>1502686.45</v>
      </c>
      <c r="W61">
        <v>9774214.9900000002</v>
      </c>
      <c r="X61">
        <v>5000</v>
      </c>
      <c r="Y61">
        <f t="shared" si="19"/>
        <v>124</v>
      </c>
      <c r="Z61">
        <f t="shared" si="20"/>
        <v>125</v>
      </c>
      <c r="AA61" cm="1">
        <f t="array" ref="AA61">INDEX(A$1:A$129290,$Y61,0)</f>
        <v>1495941.8614460099</v>
      </c>
      <c r="AB61" cm="1">
        <f t="array" ref="AB61">INDEX(A$1:A$129290,$Z61,0)</f>
        <v>0</v>
      </c>
      <c r="AC61" cm="1">
        <f t="array" ref="AC61">INDEX(B$1:B$129290,$Y61,0)</f>
        <v>9782660.6609025095</v>
      </c>
      <c r="AD61" cm="1">
        <f t="array" ref="AD61">INDEX(B$1:B$129290,$Z61,0)</f>
        <v>0</v>
      </c>
      <c r="AE61" cm="1">
        <f t="array" ref="AE61">INDEX(D$1:D$129290,$Y61,0)</f>
        <v>369</v>
      </c>
      <c r="AF61" cm="1">
        <f t="array" ref="AF61">INDEX(D$1:D$129290,$Z61,0)</f>
        <v>0</v>
      </c>
      <c r="AG61">
        <f t="shared" si="21"/>
        <v>370.66366971910031</v>
      </c>
      <c r="AH61" s="34">
        <f>V61*$X$1</f>
        <v>458018.82996</v>
      </c>
      <c r="AI61" s="34">
        <f>W61*$X$1</f>
        <v>2979180.7289520004</v>
      </c>
      <c r="AJ61" s="34"/>
      <c r="AK61" s="34">
        <f>X61*$X$1</f>
        <v>1524</v>
      </c>
      <c r="AL61" s="34">
        <f>AH61-$AH$4</f>
        <v>2158.6301759999478</v>
      </c>
      <c r="AM61" s="35">
        <f>AI61-$AI$4</f>
        <v>-2619.6889439998195</v>
      </c>
    </row>
    <row r="62" spans="1:39" x14ac:dyDescent="0.3">
      <c r="A62">
        <v>1495771.72364396</v>
      </c>
      <c r="B62">
        <v>9782735.8215858005</v>
      </c>
      <c r="C62">
        <v>-3956.2</v>
      </c>
      <c r="D62">
        <v>183</v>
      </c>
      <c r="U62" s="11" t="s">
        <v>56</v>
      </c>
      <c r="V62" s="11">
        <v>1505346.89</v>
      </c>
      <c r="W62" s="11">
        <v>9778448.4299999997</v>
      </c>
      <c r="Y62">
        <f t="shared" si="19"/>
        <v>124</v>
      </c>
      <c r="Z62">
        <f t="shared" si="20"/>
        <v>125</v>
      </c>
      <c r="AA62" cm="1">
        <f t="array" ref="AA62">INDEX(A$1:A$129290,$Y62,0)</f>
        <v>1495941.8614460099</v>
      </c>
      <c r="AB62" cm="1">
        <f t="array" ref="AB62">INDEX(A$1:A$129290,$Z62,0)</f>
        <v>0</v>
      </c>
      <c r="AC62" cm="1">
        <f t="array" ref="AC62">INDEX(B$1:B$129290,$Y62,0)</f>
        <v>9782660.6609025095</v>
      </c>
      <c r="AD62" cm="1">
        <f t="array" ref="AD62">INDEX(B$1:B$129290,$Z62,0)</f>
        <v>0</v>
      </c>
      <c r="AE62" cm="1">
        <f t="array" ref="AE62">INDEX(D$1:D$129290,$Y62,0)</f>
        <v>369</v>
      </c>
      <c r="AF62" cm="1">
        <f t="array" ref="AF62">INDEX(D$1:D$129290,$Z62,0)</f>
        <v>0</v>
      </c>
      <c r="AG62">
        <f t="shared" si="21"/>
        <v>371.31991337756114</v>
      </c>
    </row>
    <row r="63" spans="1:39" x14ac:dyDescent="0.3">
      <c r="A63">
        <v>1495774.4678020501</v>
      </c>
      <c r="B63">
        <v>9782734.6093167104</v>
      </c>
      <c r="C63">
        <v>-3956.19</v>
      </c>
      <c r="D63">
        <v>186</v>
      </c>
      <c r="U63" s="11" t="s">
        <v>54</v>
      </c>
      <c r="V63" s="11">
        <v>1518749.85</v>
      </c>
      <c r="W63" s="11">
        <v>9770025.5700000003</v>
      </c>
      <c r="Y63">
        <f t="shared" si="19"/>
        <v>124</v>
      </c>
      <c r="Z63">
        <f t="shared" si="20"/>
        <v>125</v>
      </c>
      <c r="AA63" cm="1">
        <f t="array" ref="AA63">INDEX(A$1:A$129290,$Y63,0)</f>
        <v>1495941.8614460099</v>
      </c>
      <c r="AB63" cm="1">
        <f t="array" ref="AB63">INDEX(A$1:A$129290,$Z63,0)</f>
        <v>0</v>
      </c>
      <c r="AC63" cm="1">
        <f t="array" ref="AC63">INDEX(B$1:B$129290,$Y63,0)</f>
        <v>9782660.6609025095</v>
      </c>
      <c r="AD63" cm="1">
        <f t="array" ref="AD63">INDEX(B$1:B$129290,$Z63,0)</f>
        <v>0</v>
      </c>
      <c r="AE63" cm="1">
        <f t="array" ref="AE63">INDEX(D$1:D$129290,$Y63,0)</f>
        <v>369</v>
      </c>
      <c r="AF63" cm="1">
        <f t="array" ref="AF63">INDEX(D$1:D$129290,$Z63,0)</f>
        <v>0</v>
      </c>
      <c r="AG63">
        <f t="shared" si="21"/>
        <v>374.62598587105992</v>
      </c>
    </row>
    <row r="64" spans="1:39" x14ac:dyDescent="0.3">
      <c r="A64">
        <v>1495777.2119601499</v>
      </c>
      <c r="B64">
        <v>9782733.3970476296</v>
      </c>
      <c r="C64">
        <v>-3956.19</v>
      </c>
      <c r="D64">
        <v>189</v>
      </c>
      <c r="U64" s="11" t="s">
        <v>51</v>
      </c>
      <c r="V64" s="11">
        <v>1519498.3</v>
      </c>
      <c r="W64" s="11">
        <v>9769555.2200000007</v>
      </c>
      <c r="Y64">
        <f t="shared" si="19"/>
        <v>124</v>
      </c>
      <c r="Z64">
        <f t="shared" si="20"/>
        <v>125</v>
      </c>
      <c r="AA64" cm="1">
        <f t="array" ref="AA64">INDEX(A$1:A$129290,$Y64,0)</f>
        <v>1495941.8614460099</v>
      </c>
      <c r="AB64" cm="1">
        <f t="array" ref="AB64">INDEX(A$1:A$129290,$Z64,0)</f>
        <v>0</v>
      </c>
      <c r="AC64" cm="1">
        <f t="array" ref="AC64">INDEX(B$1:B$129290,$Y64,0)</f>
        <v>9782660.6609025095</v>
      </c>
      <c r="AD64" cm="1">
        <f t="array" ref="AD64">INDEX(B$1:B$129290,$Z64,0)</f>
        <v>0</v>
      </c>
      <c r="AE64" cm="1">
        <f t="array" ref="AE64">INDEX(D$1:D$129290,$Y64,0)</f>
        <v>369</v>
      </c>
      <c r="AF64" cm="1">
        <f t="array" ref="AF64">INDEX(D$1:D$129290,$Z64,0)</f>
        <v>0</v>
      </c>
      <c r="AG64">
        <f t="shared" si="21"/>
        <v>374.81060404180425</v>
      </c>
    </row>
    <row r="65" spans="1:39" x14ac:dyDescent="0.3">
      <c r="A65">
        <v>1495779.95611825</v>
      </c>
      <c r="B65">
        <v>9782732.1847785395</v>
      </c>
      <c r="C65">
        <v>-3956.18</v>
      </c>
      <c r="D65">
        <v>192</v>
      </c>
      <c r="U65" t="s">
        <v>55</v>
      </c>
      <c r="V65">
        <v>1516089.41</v>
      </c>
      <c r="W65">
        <v>9765792.1199999992</v>
      </c>
      <c r="X65">
        <v>5000</v>
      </c>
      <c r="Y65">
        <f t="shared" si="19"/>
        <v>124</v>
      </c>
      <c r="Z65">
        <f t="shared" si="20"/>
        <v>125</v>
      </c>
      <c r="AA65" cm="1">
        <f t="array" ref="AA65">INDEX(A$1:A$129290,$Y65,0)</f>
        <v>1495941.8614460099</v>
      </c>
      <c r="AB65" cm="1">
        <f t="array" ref="AB65">INDEX(A$1:A$129290,$Z65,0)</f>
        <v>0</v>
      </c>
      <c r="AC65" cm="1">
        <f t="array" ref="AC65">INDEX(B$1:B$129290,$Y65,0)</f>
        <v>9782660.6609025095</v>
      </c>
      <c r="AD65" cm="1">
        <f t="array" ref="AD65">INDEX(B$1:B$129290,$Z65,0)</f>
        <v>0</v>
      </c>
      <c r="AE65" cm="1">
        <f t="array" ref="AE65">INDEX(D$1:D$129290,$Y65,0)</f>
        <v>369</v>
      </c>
      <c r="AF65" cm="1">
        <f t="array" ref="AF65">INDEX(D$1:D$129290,$Z65,0)</f>
        <v>0</v>
      </c>
      <c r="AG65">
        <f t="shared" si="21"/>
        <v>373.9697422125991</v>
      </c>
      <c r="AH65" s="34">
        <f>V65*$X$1</f>
        <v>462104.05216800002</v>
      </c>
      <c r="AI65" s="34">
        <f>W65*$X$1</f>
        <v>2976613.438176</v>
      </c>
      <c r="AJ65" s="34"/>
      <c r="AK65" s="34">
        <f>X65*$X$1</f>
        <v>1524</v>
      </c>
      <c r="AL65" s="34">
        <f>AH65-$AH$4</f>
        <v>6243.8523839999689</v>
      </c>
      <c r="AM65" s="35">
        <f>AI65-$AI$4</f>
        <v>-5186.9797200001776</v>
      </c>
    </row>
    <row r="66" spans="1:39" x14ac:dyDescent="0.3">
      <c r="A66">
        <v>1495782.7002763499</v>
      </c>
      <c r="B66">
        <v>9782730.9725094493</v>
      </c>
      <c r="C66">
        <v>-3956.18</v>
      </c>
      <c r="D66">
        <v>195</v>
      </c>
      <c r="U66" s="11" t="s">
        <v>56</v>
      </c>
      <c r="V66" s="11">
        <v>1520040.11</v>
      </c>
      <c r="W66" s="11">
        <v>9768856.7599999998</v>
      </c>
      <c r="Y66">
        <f t="shared" si="19"/>
        <v>124</v>
      </c>
      <c r="Z66">
        <f t="shared" si="20"/>
        <v>125</v>
      </c>
      <c r="AA66" cm="1">
        <f t="array" ref="AA66">INDEX(A$1:A$129290,$Y66,0)</f>
        <v>1495941.8614460099</v>
      </c>
      <c r="AB66" cm="1">
        <f t="array" ref="AB66">INDEX(A$1:A$129290,$Z66,0)</f>
        <v>0</v>
      </c>
      <c r="AC66" cm="1">
        <f t="array" ref="AC66">INDEX(B$1:B$129290,$Y66,0)</f>
        <v>9782660.6609025095</v>
      </c>
      <c r="AD66" cm="1">
        <f t="array" ref="AD66">INDEX(B$1:B$129290,$Z66,0)</f>
        <v>0</v>
      </c>
      <c r="AE66" cm="1">
        <f t="array" ref="AE66">INDEX(D$1:D$129290,$Y66,0)</f>
        <v>369</v>
      </c>
      <c r="AF66" cm="1">
        <f t="array" ref="AF66">INDEX(D$1:D$129290,$Z66,0)</f>
        <v>0</v>
      </c>
      <c r="AG66">
        <f t="shared" si="21"/>
        <v>374.94425087337748</v>
      </c>
    </row>
    <row r="67" spans="1:39" x14ac:dyDescent="0.3">
      <c r="A67">
        <v>1495785.44443444</v>
      </c>
      <c r="B67">
        <v>9782729.7602403704</v>
      </c>
      <c r="C67">
        <v>-3956.17</v>
      </c>
      <c r="D67">
        <v>198</v>
      </c>
      <c r="U67" s="11" t="s">
        <v>54</v>
      </c>
      <c r="V67" s="11">
        <v>1522316.92</v>
      </c>
      <c r="W67" s="11">
        <v>9765921.6600000001</v>
      </c>
      <c r="Y67">
        <f t="shared" si="19"/>
        <v>124</v>
      </c>
      <c r="Z67">
        <f t="shared" si="20"/>
        <v>125</v>
      </c>
      <c r="AA67" cm="1">
        <f t="array" ref="AA67">INDEX(A$1:A$129290,$Y67,0)</f>
        <v>1495941.8614460099</v>
      </c>
      <c r="AB67" cm="1">
        <f t="array" ref="AB67">INDEX(A$1:A$129290,$Z67,0)</f>
        <v>0</v>
      </c>
      <c r="AC67" cm="1">
        <f t="array" ref="AC67">INDEX(B$1:B$129290,$Y67,0)</f>
        <v>9782660.6609025095</v>
      </c>
      <c r="AD67" cm="1">
        <f t="array" ref="AD67">INDEX(B$1:B$129290,$Z67,0)</f>
        <v>0</v>
      </c>
      <c r="AE67" cm="1">
        <f t="array" ref="AE67">INDEX(D$1:D$129290,$Y67,0)</f>
        <v>369</v>
      </c>
      <c r="AF67" cm="1">
        <f t="array" ref="AF67">INDEX(D$1:D$129290,$Z67,0)</f>
        <v>0</v>
      </c>
      <c r="AG67">
        <f t="shared" si="21"/>
        <v>375.50586554013188</v>
      </c>
    </row>
    <row r="68" spans="1:39" x14ac:dyDescent="0.3">
      <c r="A68">
        <v>1495788.1885925401</v>
      </c>
      <c r="B68">
        <v>9782728.5479712803</v>
      </c>
      <c r="C68">
        <v>-3956.17</v>
      </c>
      <c r="D68">
        <v>201</v>
      </c>
      <c r="U68" s="11" t="s">
        <v>51</v>
      </c>
      <c r="V68" s="11">
        <v>1522986.65</v>
      </c>
      <c r="W68" s="11">
        <v>9765058.2899999991</v>
      </c>
      <c r="Y68">
        <f t="shared" si="19"/>
        <v>124</v>
      </c>
      <c r="Z68">
        <f t="shared" si="20"/>
        <v>125</v>
      </c>
      <c r="AA68" cm="1">
        <f t="array" ref="AA68">INDEX(A$1:A$129290,$Y68,0)</f>
        <v>1495941.8614460099</v>
      </c>
      <c r="AB68" cm="1">
        <f t="array" ref="AB68">INDEX(A$1:A$129290,$Z68,0)</f>
        <v>0</v>
      </c>
      <c r="AC68" cm="1">
        <f t="array" ref="AC68">INDEX(B$1:B$129290,$Y68,0)</f>
        <v>9782660.6609025095</v>
      </c>
      <c r="AD68" cm="1">
        <f t="array" ref="AD68">INDEX(B$1:B$129290,$Z68,0)</f>
        <v>0</v>
      </c>
      <c r="AE68" cm="1">
        <f t="array" ref="AE68">INDEX(D$1:D$129290,$Y68,0)</f>
        <v>369</v>
      </c>
      <c r="AF68" cm="1">
        <f t="array" ref="AF68">INDEX(D$1:D$129290,$Z68,0)</f>
        <v>0</v>
      </c>
      <c r="AG68">
        <f t="shared" si="21"/>
        <v>375.67106605785858</v>
      </c>
    </row>
    <row r="69" spans="1:39" x14ac:dyDescent="0.3">
      <c r="A69">
        <v>1495790.93275064</v>
      </c>
      <c r="B69">
        <v>9782727.3357021995</v>
      </c>
      <c r="C69">
        <v>-3956.18</v>
      </c>
      <c r="D69">
        <v>204</v>
      </c>
      <c r="U69" t="s">
        <v>55</v>
      </c>
      <c r="V69">
        <v>1526267.62</v>
      </c>
      <c r="W69">
        <v>9768986.2899999991</v>
      </c>
      <c r="X69">
        <v>5000</v>
      </c>
      <c r="Y69">
        <f t="shared" si="19"/>
        <v>124</v>
      </c>
      <c r="Z69">
        <f t="shared" si="20"/>
        <v>125</v>
      </c>
      <c r="AA69" cm="1">
        <f t="array" ref="AA69">INDEX(A$1:A$129290,$Y69,0)</f>
        <v>1495941.8614460099</v>
      </c>
      <c r="AB69" cm="1">
        <f t="array" ref="AB69">INDEX(A$1:A$129290,$Z69,0)</f>
        <v>0</v>
      </c>
      <c r="AC69" cm="1">
        <f t="array" ref="AC69">INDEX(B$1:B$129290,$Y69,0)</f>
        <v>9782660.6609025095</v>
      </c>
      <c r="AD69" cm="1">
        <f t="array" ref="AD69">INDEX(B$1:B$129290,$Z69,0)</f>
        <v>0</v>
      </c>
      <c r="AE69" cm="1">
        <f t="array" ref="AE69">INDEX(D$1:D$129290,$Y69,0)</f>
        <v>369</v>
      </c>
      <c r="AF69" cm="1">
        <f t="array" ref="AF69">INDEX(D$1:D$129290,$Z69,0)</f>
        <v>0</v>
      </c>
      <c r="AG69">
        <f t="shared" si="21"/>
        <v>376.48037420091026</v>
      </c>
      <c r="AH69" s="34">
        <f>V69*$X$1</f>
        <v>465206.37057600007</v>
      </c>
      <c r="AI69" s="34">
        <f>W69*$X$1</f>
        <v>2977587.0211919998</v>
      </c>
      <c r="AJ69" s="34"/>
      <c r="AK69" s="34">
        <f>X69*$X$1</f>
        <v>1524</v>
      </c>
      <c r="AL69" s="34">
        <f>AH69-$AH$4</f>
        <v>9346.170792000019</v>
      </c>
      <c r="AM69" s="35">
        <f>AI69-$AI$4</f>
        <v>-4213.3967040004209</v>
      </c>
    </row>
    <row r="70" spans="1:39" x14ac:dyDescent="0.3">
      <c r="A70">
        <v>1495793.6769087401</v>
      </c>
      <c r="B70">
        <v>9782726.1234331094</v>
      </c>
      <c r="C70">
        <v>-3956.21</v>
      </c>
      <c r="D70">
        <v>207</v>
      </c>
      <c r="U70" t="s">
        <v>56</v>
      </c>
      <c r="V70">
        <v>1523955.47</v>
      </c>
      <c r="W70">
        <v>9764553.0099999998</v>
      </c>
      <c r="Y70">
        <f t="shared" si="19"/>
        <v>124</v>
      </c>
      <c r="Z70">
        <f>Y70+1</f>
        <v>125</v>
      </c>
      <c r="AA70" cm="1">
        <f t="array" ref="AA70">INDEX(A$1:A$129290,$Y70,0)</f>
        <v>1495941.8614460099</v>
      </c>
      <c r="AB70" cm="1">
        <f t="array" ref="AB70">INDEX(A$1:A$129290,$Z70,0)</f>
        <v>0</v>
      </c>
      <c r="AC70" cm="1">
        <f t="array" ref="AC70">INDEX(B$1:B$129290,$Y70,0)</f>
        <v>9782660.6609025095</v>
      </c>
      <c r="AD70" cm="1">
        <f t="array" ref="AD70">INDEX(B$1:B$129290,$Z70,0)</f>
        <v>0</v>
      </c>
      <c r="AE70" cm="1">
        <f t="array" ref="AE70">INDEX(D$1:D$129290,$Y70,0)</f>
        <v>369</v>
      </c>
      <c r="AF70" cm="1">
        <f t="array" ref="AF70">INDEX(D$1:D$129290,$Z70,0)</f>
        <v>0</v>
      </c>
      <c r="AG70">
        <f>FORECAST(V70,AE70:AF70,AA70:AB70)</f>
        <v>375.91004231035447</v>
      </c>
    </row>
    <row r="71" spans="1:39" x14ac:dyDescent="0.3">
      <c r="A71">
        <v>1495796.4210668299</v>
      </c>
      <c r="B71">
        <v>9782724.9111640304</v>
      </c>
      <c r="C71">
        <v>-3956.24</v>
      </c>
      <c r="D71">
        <v>210</v>
      </c>
      <c r="U71" t="s">
        <v>188</v>
      </c>
      <c r="V71">
        <v>1528467.57</v>
      </c>
      <c r="W71">
        <v>9762199.75</v>
      </c>
      <c r="Y71">
        <f>MATCH($V71,A$1:A$129290,1)-1</f>
        <v>123</v>
      </c>
      <c r="Z71">
        <f>Y71+1</f>
        <v>124</v>
      </c>
      <c r="AA71" cm="1">
        <f t="array" ref="AA71">INDEX(A$1:A$129290,$Y71,0)</f>
        <v>1495939.1172879101</v>
      </c>
      <c r="AB71" cm="1">
        <f t="array" ref="AB71">INDEX(A$1:A$129290,$Z71,0)</f>
        <v>1495941.8614460099</v>
      </c>
      <c r="AC71" cm="1">
        <f t="array" ref="AC71">INDEX(B$1:B$129290,$Y71,0)</f>
        <v>9782661.8731715903</v>
      </c>
      <c r="AD71" cm="1">
        <f t="array" ref="AD71">INDEX(B$1:B$129290,$Z71,0)</f>
        <v>9782660.6609025095</v>
      </c>
      <c r="AE71" cm="1">
        <f t="array" ref="AE71">INDEX(D$1:D$129290,$Y71,0)</f>
        <v>366</v>
      </c>
      <c r="AF71" cm="1">
        <f t="array" ref="AF71">INDEX(D$1:D$129290,$Z71,0)</f>
        <v>369</v>
      </c>
      <c r="AG71">
        <f>FORECAST(V71,AE71:AF71,AA71:AB71)</f>
        <v>35927.128253088798</v>
      </c>
    </row>
    <row r="72" spans="1:39" x14ac:dyDescent="0.3">
      <c r="A72">
        <v>1495799.16522493</v>
      </c>
      <c r="B72">
        <v>9782723.6988949403</v>
      </c>
      <c r="C72">
        <v>-3956.29</v>
      </c>
      <c r="D72">
        <v>213</v>
      </c>
      <c r="U72" s="36" t="s">
        <v>30</v>
      </c>
      <c r="V72">
        <v>1517388.5490000001</v>
      </c>
      <c r="W72">
        <v>9770881.057</v>
      </c>
      <c r="Y72">
        <f t="shared" si="19"/>
        <v>124</v>
      </c>
      <c r="Z72">
        <f t="shared" ref="Z72" si="22">Y72+1</f>
        <v>125</v>
      </c>
      <c r="AA72" cm="1">
        <f t="array" ref="AA72">INDEX(A$1:A$129290,$Y72,0)</f>
        <v>1495941.8614460099</v>
      </c>
      <c r="AB72" cm="1">
        <f t="array" ref="AB72">INDEX(A$1:A$129290,$Z72,0)</f>
        <v>0</v>
      </c>
      <c r="AC72" cm="1">
        <f t="array" ref="AC72">INDEX(B$1:B$129290,$Y72,0)</f>
        <v>9782660.6609025095</v>
      </c>
      <c r="AD72" cm="1">
        <f t="array" ref="AD72">INDEX(B$1:B$129290,$Z72,0)</f>
        <v>0</v>
      </c>
      <c r="AE72" cm="1">
        <f t="array" ref="AE72">INDEX(D$1:D$129290,$Y72,0)</f>
        <v>369</v>
      </c>
      <c r="AF72" cm="1">
        <f t="array" ref="AF72">INDEX(D$1:D$129290,$Z72,0)</f>
        <v>0</v>
      </c>
      <c r="AG72">
        <f>AE72</f>
        <v>369</v>
      </c>
    </row>
    <row r="73" spans="1:39" x14ac:dyDescent="0.3">
      <c r="A73">
        <v>1495801.9093830299</v>
      </c>
      <c r="B73">
        <v>9782722.4866258595</v>
      </c>
      <c r="C73">
        <v>-3956.33</v>
      </c>
      <c r="D73">
        <v>216</v>
      </c>
      <c r="AM73" s="1"/>
    </row>
    <row r="74" spans="1:39" x14ac:dyDescent="0.3">
      <c r="A74">
        <v>1495804.65354113</v>
      </c>
      <c r="B74">
        <v>9782721.2743567694</v>
      </c>
      <c r="C74">
        <v>-3956.37</v>
      </c>
      <c r="D74">
        <v>219</v>
      </c>
    </row>
    <row r="75" spans="1:39" x14ac:dyDescent="0.3">
      <c r="A75">
        <v>1495807.3976992299</v>
      </c>
      <c r="B75">
        <v>9782720.0620876905</v>
      </c>
      <c r="C75">
        <v>-3956.39</v>
      </c>
      <c r="D75">
        <v>222</v>
      </c>
    </row>
    <row r="76" spans="1:39" x14ac:dyDescent="0.3">
      <c r="A76">
        <v>1495810.14185732</v>
      </c>
      <c r="B76">
        <v>9782718.8498186003</v>
      </c>
      <c r="C76">
        <v>-3956.42</v>
      </c>
      <c r="D76">
        <v>225</v>
      </c>
    </row>
    <row r="77" spans="1:39" x14ac:dyDescent="0.3">
      <c r="A77">
        <v>1495812.8860154201</v>
      </c>
      <c r="B77">
        <v>9782717.6375495195</v>
      </c>
      <c r="C77">
        <v>-3956.38</v>
      </c>
      <c r="D77">
        <v>228</v>
      </c>
      <c r="AG77" s="3"/>
    </row>
    <row r="78" spans="1:39" x14ac:dyDescent="0.3">
      <c r="A78">
        <v>1495815.63017352</v>
      </c>
      <c r="B78">
        <v>9782716.4252804294</v>
      </c>
      <c r="C78">
        <v>-3956.34</v>
      </c>
      <c r="D78">
        <v>231</v>
      </c>
      <c r="U78" t="str">
        <f>T5</f>
        <v>DBM1</v>
      </c>
      <c r="V78">
        <f>FORECAST(AG78,AA78:AB78,AE78:AF78)</f>
        <v>14498433.386641603</v>
      </c>
      <c r="W78">
        <f>FORECAST(AG78,AC78:AD78,AE78:AF78)</f>
        <v>94812009.471487895</v>
      </c>
      <c r="Y78">
        <f>MATCH($AG78,D$1:D$12929,1)</f>
        <v>124</v>
      </c>
      <c r="Z78">
        <f>Y78+1</f>
        <v>125</v>
      </c>
      <c r="AA78" cm="1">
        <f t="array" ref="AA78">INDEX(A$1:A$12929,$Y78,0)</f>
        <v>1495941.8614460099</v>
      </c>
      <c r="AB78" cm="1">
        <f t="array" ref="AB78">INDEX(A$1:A$12929,$Z78,0)</f>
        <v>0</v>
      </c>
      <c r="AC78" cm="1">
        <f t="array" ref="AC78">INDEX(B$1:B$12929,$Y78,0)</f>
        <v>9782660.6609025095</v>
      </c>
      <c r="AD78" cm="1">
        <f t="array" ref="AD78">INDEX(B$1:B$12929,$Z78,0)</f>
        <v>0</v>
      </c>
      <c r="AE78" cm="1">
        <f t="array" ref="AE78">INDEX(D$1:D$12929,$Y78,0)</f>
        <v>369</v>
      </c>
      <c r="AF78" cm="1">
        <f t="array" ref="AF78">INDEX(D$1:D$12929,$Z78,0)</f>
        <v>0</v>
      </c>
      <c r="AG78" s="3">
        <f>1090*3.281</f>
        <v>3576.29</v>
      </c>
    </row>
    <row r="79" spans="1:39" x14ac:dyDescent="0.3">
      <c r="A79">
        <v>1495818.3743316201</v>
      </c>
      <c r="B79">
        <v>9782715.2130113505</v>
      </c>
      <c r="C79">
        <v>-3956.29</v>
      </c>
      <c r="D79">
        <v>234</v>
      </c>
      <c r="S79">
        <f>9745-8612</f>
        <v>1133</v>
      </c>
      <c r="U79" t="s">
        <v>215</v>
      </c>
      <c r="V79">
        <f>FORECAST(AG79,AA79:AB79,AE79:AF79)</f>
        <v>127050157.50527635</v>
      </c>
      <c r="W79">
        <f>FORECAST(AG79,AC79:AD79,AE79:AF79)</f>
        <v>830840161.52000141</v>
      </c>
      <c r="Y79">
        <f t="shared" ref="Y79:Y96" si="23">MATCH($AG79,D$1:D$12929,1)</f>
        <v>124</v>
      </c>
      <c r="Z79">
        <f>Y79+1</f>
        <v>125</v>
      </c>
      <c r="AA79" cm="1">
        <f t="array" ref="AA79">INDEX(A$1:A$12929,$Y79,0)</f>
        <v>1495941.8614460099</v>
      </c>
      <c r="AB79" cm="1">
        <f t="array" ref="AB79">INDEX(A$1:A$12929,$Z79,0)</f>
        <v>0</v>
      </c>
      <c r="AC79" cm="1">
        <f t="array" ref="AC79">INDEX(B$1:B$12929,$Y79,0)</f>
        <v>9782660.6609025095</v>
      </c>
      <c r="AD79" cm="1">
        <f t="array" ref="AD79">INDEX(B$1:B$12929,$Z79,0)</f>
        <v>0</v>
      </c>
      <c r="AE79" cm="1">
        <f t="array" ref="AE79">INDEX(D$1:D$12929,$Y79,0)</f>
        <v>369</v>
      </c>
      <c r="AF79" cm="1">
        <f t="array" ref="AF79">INDEX(D$1:D$12929,$Z79,0)</f>
        <v>0</v>
      </c>
      <c r="AG79">
        <f>9551.699*3.281</f>
        <v>31339.124419000003</v>
      </c>
    </row>
    <row r="80" spans="1:39" x14ac:dyDescent="0.3">
      <c r="A80">
        <v>1495821.1184897099</v>
      </c>
      <c r="B80">
        <v>9782714.0007422604</v>
      </c>
      <c r="C80">
        <v>-3956.26</v>
      </c>
      <c r="D80">
        <v>237</v>
      </c>
      <c r="U80" t="s">
        <v>216</v>
      </c>
      <c r="V80">
        <f>FORECAST(AG80,AA80:AB80,AE80:AF80)</f>
        <v>69499371.050644383</v>
      </c>
      <c r="W80">
        <f>FORECAST(AG80,AC80:AD80,AE80:AF80)</f>
        <v>454488760.99864614</v>
      </c>
      <c r="Y80">
        <f t="shared" si="23"/>
        <v>124</v>
      </c>
      <c r="Z80">
        <f>Y80+1</f>
        <v>125</v>
      </c>
      <c r="AA80" cm="1">
        <f t="array" ref="AA80">INDEX(A$1:A$12929,$Y80,0)</f>
        <v>1495941.8614460099</v>
      </c>
      <c r="AB80" cm="1">
        <f t="array" ref="AB80">INDEX(A$1:A$12929,$Z80,0)</f>
        <v>0</v>
      </c>
      <c r="AC80" cm="1">
        <f t="array" ref="AC80">INDEX(B$1:B$12929,$Y80,0)</f>
        <v>9782660.6609025095</v>
      </c>
      <c r="AD80" cm="1">
        <f t="array" ref="AD80">INDEX(B$1:B$12929,$Z80,0)</f>
        <v>0</v>
      </c>
      <c r="AE80" cm="1">
        <f t="array" ref="AE80">INDEX(D$1:D$12929,$Y80,0)</f>
        <v>369</v>
      </c>
      <c r="AF80" cm="1">
        <f t="array" ref="AF80">INDEX(D$1:D$12929,$Z80,0)</f>
        <v>0</v>
      </c>
      <c r="AG80">
        <f>5225*3.281</f>
        <v>17143.225000000002</v>
      </c>
      <c r="AH80" t="s">
        <v>236</v>
      </c>
      <c r="AI80" t="s">
        <v>238</v>
      </c>
    </row>
    <row r="81" spans="1:37" x14ac:dyDescent="0.3">
      <c r="A81">
        <v>1495823.86264781</v>
      </c>
      <c r="B81">
        <v>9782712.7884731796</v>
      </c>
      <c r="C81">
        <v>-3956.27</v>
      </c>
      <c r="D81">
        <v>240</v>
      </c>
      <c r="U81" s="9" t="s">
        <v>217</v>
      </c>
      <c r="V81" s="9">
        <f t="shared" ref="V81:V96" si="24">FORECAST(AG81,AA81:AB81,AE81:AF81)</f>
        <v>10764368.518569576</v>
      </c>
      <c r="W81" s="9">
        <f t="shared" ref="W81:W96" si="25">FORECAST(AG81,AC81:AD81,AE81:AF81)</f>
        <v>70393219.923853651</v>
      </c>
      <c r="X81" s="9"/>
      <c r="Y81" s="9">
        <f t="shared" si="23"/>
        <v>124</v>
      </c>
      <c r="Z81" s="9">
        <f t="shared" ref="Z81:Z96" si="26">Y81+1</f>
        <v>125</v>
      </c>
      <c r="AA81" s="9" cm="1">
        <f t="array" ref="AA81">INDEX(A$1:A$12929,$Y81,0)</f>
        <v>1495941.8614460099</v>
      </c>
      <c r="AB81" s="9" cm="1">
        <f t="array" ref="AB81">INDEX(A$1:A$12929,$Z81,0)</f>
        <v>0</v>
      </c>
      <c r="AC81" s="9" cm="1">
        <f t="array" ref="AC81">INDEX(B$1:B$12929,$Y81,0)</f>
        <v>9782660.6609025095</v>
      </c>
      <c r="AD81" s="9" cm="1">
        <f t="array" ref="AD81">INDEX(B$1:B$12929,$Z81,0)</f>
        <v>0</v>
      </c>
      <c r="AE81" s="9" cm="1">
        <f t="array" ref="AE81">INDEX(D$1:D$12929,$Y81,0)</f>
        <v>369</v>
      </c>
      <c r="AF81" s="9" cm="1">
        <f t="array" ref="AF81">INDEX(D$1:D$12929,$Z81,0)</f>
        <v>0</v>
      </c>
      <c r="AG81" s="9">
        <f>809.271*3.281</f>
        <v>2655.218151</v>
      </c>
      <c r="AH81">
        <v>-2.0093000000000001</v>
      </c>
      <c r="AI81">
        <v>0.14499999999999999</v>
      </c>
      <c r="AJ81">
        <v>1</v>
      </c>
    </row>
    <row r="82" spans="1:37" x14ac:dyDescent="0.3">
      <c r="A82">
        <v>1495826.6068059099</v>
      </c>
      <c r="B82">
        <v>9782711.5762040894</v>
      </c>
      <c r="C82">
        <v>-3956.28</v>
      </c>
      <c r="D82">
        <v>243</v>
      </c>
      <c r="U82" s="9" t="s">
        <v>218</v>
      </c>
      <c r="V82" s="9">
        <f t="shared" si="24"/>
        <v>13058632.540827822</v>
      </c>
      <c r="W82" s="9">
        <f t="shared" si="25"/>
        <v>85396481.063009724</v>
      </c>
      <c r="X82" s="9"/>
      <c r="Y82" s="9">
        <f t="shared" si="23"/>
        <v>124</v>
      </c>
      <c r="Z82" s="9">
        <f t="shared" si="26"/>
        <v>125</v>
      </c>
      <c r="AA82" s="9" cm="1">
        <f t="array" ref="AA82">INDEX(A$1:A$12929,$Y82,0)</f>
        <v>1495941.8614460099</v>
      </c>
      <c r="AB82" s="9" cm="1">
        <f t="array" ref="AB82">INDEX(A$1:A$12929,$Z82,0)</f>
        <v>0</v>
      </c>
      <c r="AC82" s="9" cm="1">
        <f t="array" ref="AC82">INDEX(B$1:B$12929,$Y82,0)</f>
        <v>9782660.6609025095</v>
      </c>
      <c r="AD82" s="9" cm="1">
        <f t="array" ref="AD82">INDEX(B$1:B$12929,$Z82,0)</f>
        <v>0</v>
      </c>
      <c r="AE82" s="9" cm="1">
        <f t="array" ref="AE82">INDEX(D$1:D$12929,$Y82,0)</f>
        <v>369</v>
      </c>
      <c r="AF82" s="9" cm="1">
        <f t="array" ref="AF82">INDEX(D$1:D$12929,$Z82,0)</f>
        <v>0</v>
      </c>
      <c r="AG82" s="9">
        <f>981.755*3.281</f>
        <v>3221.1381550000001</v>
      </c>
      <c r="AH82">
        <v>-2.5251000000000001</v>
      </c>
      <c r="AI82">
        <v>0.14399999999999999</v>
      </c>
      <c r="AJ82">
        <v>2</v>
      </c>
    </row>
    <row r="83" spans="1:37" x14ac:dyDescent="0.3">
      <c r="A83">
        <v>1495829.35096401</v>
      </c>
      <c r="B83">
        <v>9782710.3639349993</v>
      </c>
      <c r="C83">
        <v>-3956.3</v>
      </c>
      <c r="D83">
        <v>246</v>
      </c>
      <c r="U83" s="9" t="s">
        <v>219</v>
      </c>
      <c r="V83" s="9">
        <f t="shared" si="24"/>
        <v>21488726.681518037</v>
      </c>
      <c r="W83" s="9">
        <f t="shared" si="25"/>
        <v>140524793.494964</v>
      </c>
      <c r="X83" s="9"/>
      <c r="Y83" s="9">
        <f t="shared" si="23"/>
        <v>124</v>
      </c>
      <c r="Z83" s="9">
        <f t="shared" si="26"/>
        <v>125</v>
      </c>
      <c r="AA83" s="9" cm="1">
        <f t="array" ref="AA83">INDEX(A$1:A$12929,$Y83,0)</f>
        <v>1495941.8614460099</v>
      </c>
      <c r="AB83" s="9" cm="1">
        <f t="array" ref="AB83">INDEX(A$1:A$12929,$Z83,0)</f>
        <v>0</v>
      </c>
      <c r="AC83" s="9" cm="1">
        <f t="array" ref="AC83">INDEX(B$1:B$12929,$Y83,0)</f>
        <v>9782660.6609025095</v>
      </c>
      <c r="AD83" s="9" cm="1">
        <f t="array" ref="AD83">INDEX(B$1:B$12929,$Z83,0)</f>
        <v>0</v>
      </c>
      <c r="AE83" s="9" cm="1">
        <f t="array" ref="AE83">INDEX(D$1:D$12929,$Y83,0)</f>
        <v>369</v>
      </c>
      <c r="AF83" s="9" cm="1">
        <f t="array" ref="AF83">INDEX(D$1:D$12929,$Z83,0)</f>
        <v>0</v>
      </c>
      <c r="AG83" s="9">
        <f>1615.534*3.281</f>
        <v>5300.567054000001</v>
      </c>
      <c r="AH83">
        <v>-3.4089</v>
      </c>
      <c r="AI83">
        <v>0.159</v>
      </c>
      <c r="AJ83">
        <v>3</v>
      </c>
    </row>
    <row r="84" spans="1:37" x14ac:dyDescent="0.3">
      <c r="A84">
        <v>1495832.0951221001</v>
      </c>
      <c r="B84">
        <v>9782709.1516659204</v>
      </c>
      <c r="C84">
        <v>-3956.31</v>
      </c>
      <c r="D84">
        <v>249</v>
      </c>
      <c r="U84" s="9" t="s">
        <v>220</v>
      </c>
      <c r="V84" s="9">
        <f t="shared" si="24"/>
        <v>25823811.469384007</v>
      </c>
      <c r="W84" s="9">
        <f t="shared" si="25"/>
        <v>168873932.26091859</v>
      </c>
      <c r="X84" s="9"/>
      <c r="Y84" s="9">
        <f t="shared" si="23"/>
        <v>124</v>
      </c>
      <c r="Z84" s="9">
        <f t="shared" si="26"/>
        <v>125</v>
      </c>
      <c r="AA84" s="9" cm="1">
        <f t="array" ref="AA84">INDEX(A$1:A$12929,$Y84,0)</f>
        <v>1495941.8614460099</v>
      </c>
      <c r="AB84" s="9" cm="1">
        <f t="array" ref="AB84">INDEX(A$1:A$12929,$Z84,0)</f>
        <v>0</v>
      </c>
      <c r="AC84" s="9" cm="1">
        <f t="array" ref="AC84">INDEX(B$1:B$12929,$Y84,0)</f>
        <v>9782660.6609025095</v>
      </c>
      <c r="AD84" s="9" cm="1">
        <f t="array" ref="AD84">INDEX(B$1:B$12929,$Z84,0)</f>
        <v>0</v>
      </c>
      <c r="AE84" s="9" cm="1">
        <f t="array" ref="AE84">INDEX(D$1:D$12929,$Y84,0)</f>
        <v>369</v>
      </c>
      <c r="AF84" s="9" cm="1">
        <f t="array" ref="AF84">INDEX(D$1:D$12929,$Z84,0)</f>
        <v>0</v>
      </c>
      <c r="AG84" s="9">
        <f>1941.448*3.281</f>
        <v>6369.8908880000008</v>
      </c>
      <c r="AH84">
        <v>1.9668000000000001</v>
      </c>
      <c r="AI84">
        <v>0.111</v>
      </c>
      <c r="AJ84">
        <v>4</v>
      </c>
    </row>
    <row r="85" spans="1:37" x14ac:dyDescent="0.3">
      <c r="A85">
        <v>1495834.8392802</v>
      </c>
      <c r="B85">
        <v>9782707.9393968303</v>
      </c>
      <c r="C85">
        <v>-3956.32</v>
      </c>
      <c r="D85">
        <v>252</v>
      </c>
      <c r="U85" s="9" t="s">
        <v>221</v>
      </c>
      <c r="V85" s="9">
        <f t="shared" si="24"/>
        <v>30479032.30747905</v>
      </c>
      <c r="W85" s="9">
        <f t="shared" si="25"/>
        <v>199316589.78279954</v>
      </c>
      <c r="X85" s="9"/>
      <c r="Y85" s="9">
        <f t="shared" si="23"/>
        <v>124</v>
      </c>
      <c r="Z85" s="9">
        <f t="shared" si="26"/>
        <v>125</v>
      </c>
      <c r="AA85" s="9" cm="1">
        <f t="array" ref="AA85">INDEX(A$1:A$12929,$Y85,0)</f>
        <v>1495941.8614460099</v>
      </c>
      <c r="AB85" s="9" cm="1">
        <f t="array" ref="AB85">INDEX(A$1:A$12929,$Z85,0)</f>
        <v>0</v>
      </c>
      <c r="AC85" s="9" cm="1">
        <f t="array" ref="AC85">INDEX(B$1:B$12929,$Y85,0)</f>
        <v>9782660.6609025095</v>
      </c>
      <c r="AD85" s="9" cm="1">
        <f t="array" ref="AD85">INDEX(B$1:B$12929,$Z85,0)</f>
        <v>0</v>
      </c>
      <c r="AE85" s="9" cm="1">
        <f t="array" ref="AE85">INDEX(D$1:D$12929,$Y85,0)</f>
        <v>369</v>
      </c>
      <c r="AF85" s="9" cm="1">
        <f t="array" ref="AF85">INDEX(D$1:D$12929,$Z85,0)</f>
        <v>0</v>
      </c>
      <c r="AG85" s="9">
        <f>2291.43*3.281</f>
        <v>7518.1818299999995</v>
      </c>
      <c r="AH85">
        <v>-3</v>
      </c>
      <c r="AI85">
        <v>0.18</v>
      </c>
      <c r="AJ85">
        <v>5</v>
      </c>
    </row>
    <row r="86" spans="1:37" x14ac:dyDescent="0.3">
      <c r="A86">
        <v>1495837.5834383001</v>
      </c>
      <c r="B86">
        <v>9782706.7271277495</v>
      </c>
      <c r="C86">
        <v>-3956.34</v>
      </c>
      <c r="D86">
        <v>255</v>
      </c>
      <c r="U86" s="9" t="s">
        <v>222</v>
      </c>
      <c r="V86" s="9">
        <f t="shared" si="24"/>
        <v>43080817.882162295</v>
      </c>
      <c r="W86" s="9">
        <f t="shared" si="25"/>
        <v>281725535.7290132</v>
      </c>
      <c r="X86" s="9"/>
      <c r="Y86" s="9">
        <f t="shared" si="23"/>
        <v>124</v>
      </c>
      <c r="Z86" s="9">
        <f t="shared" si="26"/>
        <v>125</v>
      </c>
      <c r="AA86" s="9" cm="1">
        <f t="array" ref="AA86">INDEX(A$1:A$12929,$Y86,0)</f>
        <v>1495941.8614460099</v>
      </c>
      <c r="AB86" s="9" cm="1">
        <f t="array" ref="AB86">INDEX(A$1:A$12929,$Z86,0)</f>
        <v>0</v>
      </c>
      <c r="AC86" s="9" cm="1">
        <f t="array" ref="AC86">INDEX(B$1:B$12929,$Y86,0)</f>
        <v>9782660.6609025095</v>
      </c>
      <c r="AD86" s="9" cm="1">
        <f t="array" ref="AD86">INDEX(B$1:B$12929,$Z86,0)</f>
        <v>0</v>
      </c>
      <c r="AE86" s="9" cm="1">
        <f t="array" ref="AE86">INDEX(D$1:D$12929,$Y86,0)</f>
        <v>369</v>
      </c>
      <c r="AF86" s="9" cm="1">
        <f t="array" ref="AF86">INDEX(D$1:D$12929,$Z86,0)</f>
        <v>0</v>
      </c>
      <c r="AG86" s="26">
        <f>3238.839*3.281</f>
        <v>10626.630759</v>
      </c>
      <c r="AH86" s="26">
        <v>3.5960999999999999</v>
      </c>
      <c r="AI86" s="26">
        <v>0.192</v>
      </c>
      <c r="AJ86" s="26">
        <v>6</v>
      </c>
      <c r="AK86" t="s">
        <v>239</v>
      </c>
    </row>
    <row r="87" spans="1:37" x14ac:dyDescent="0.3">
      <c r="A87">
        <v>1495840.3275963999</v>
      </c>
      <c r="B87">
        <v>9782705.5148586594</v>
      </c>
      <c r="C87">
        <v>-3956.35</v>
      </c>
      <c r="D87">
        <v>258</v>
      </c>
      <c r="U87" s="9" t="s">
        <v>223</v>
      </c>
      <c r="V87" s="9">
        <f t="shared" si="24"/>
        <v>56486295.513806693</v>
      </c>
      <c r="W87" s="9">
        <f t="shared" si="25"/>
        <v>369390198.4057647</v>
      </c>
      <c r="X87" s="9"/>
      <c r="Y87" s="9">
        <f t="shared" si="23"/>
        <v>124</v>
      </c>
      <c r="Z87" s="9">
        <f t="shared" si="26"/>
        <v>125</v>
      </c>
      <c r="AA87" s="9" cm="1">
        <f t="array" ref="AA87">INDEX(A$1:A$12929,$Y87,0)</f>
        <v>1495941.8614460099</v>
      </c>
      <c r="AB87" s="9" cm="1">
        <f t="array" ref="AB87">INDEX(A$1:A$12929,$Z87,0)</f>
        <v>0</v>
      </c>
      <c r="AC87" s="9" cm="1">
        <f t="array" ref="AC87">INDEX(B$1:B$12929,$Y87,0)</f>
        <v>9782660.6609025095</v>
      </c>
      <c r="AD87" s="9" cm="1">
        <f t="array" ref="AD87">INDEX(B$1:B$12929,$Z87,0)</f>
        <v>0</v>
      </c>
      <c r="AE87" s="9" cm="1">
        <f t="array" ref="AE87">INDEX(D$1:D$12929,$Y87,0)</f>
        <v>369</v>
      </c>
      <c r="AF87" s="9" cm="1">
        <f t="array" ref="AF87">INDEX(D$1:D$12929,$Z87,0)</f>
        <v>0</v>
      </c>
      <c r="AG87" s="9">
        <f>4246.67*3.281</f>
        <v>13933.324270000001</v>
      </c>
      <c r="AH87">
        <v>-3.7431000000000001</v>
      </c>
      <c r="AI87" s="41">
        <v>0.20100000000000001</v>
      </c>
      <c r="AJ87" s="13">
        <v>7</v>
      </c>
    </row>
    <row r="88" spans="1:37" x14ac:dyDescent="0.3">
      <c r="A88">
        <v>1495843.07175449</v>
      </c>
      <c r="B88">
        <v>9782704.3025895804</v>
      </c>
      <c r="C88">
        <v>-3956.4</v>
      </c>
      <c r="D88">
        <v>261</v>
      </c>
      <c r="U88" s="9" t="s">
        <v>224</v>
      </c>
      <c r="V88" s="9">
        <f t="shared" si="24"/>
        <v>70207333.543308616</v>
      </c>
      <c r="W88" s="9">
        <f t="shared" si="25"/>
        <v>459118457.51618743</v>
      </c>
      <c r="X88" s="9"/>
      <c r="Y88" s="9">
        <f t="shared" si="23"/>
        <v>124</v>
      </c>
      <c r="Z88" s="9">
        <f t="shared" si="26"/>
        <v>125</v>
      </c>
      <c r="AA88" s="9" cm="1">
        <f t="array" ref="AA88">INDEX(A$1:A$12929,$Y88,0)</f>
        <v>1495941.8614460099</v>
      </c>
      <c r="AB88" s="9" cm="1">
        <f t="array" ref="AB88">INDEX(A$1:A$12929,$Z88,0)</f>
        <v>0</v>
      </c>
      <c r="AC88" s="9" cm="1">
        <f t="array" ref="AC88">INDEX(B$1:B$12929,$Y88,0)</f>
        <v>9782660.6609025095</v>
      </c>
      <c r="AD88" s="9" cm="1">
        <f t="array" ref="AD88">INDEX(B$1:B$12929,$Z88,0)</f>
        <v>0</v>
      </c>
      <c r="AE88" s="9" cm="1">
        <f t="array" ref="AE88">INDEX(D$1:D$12929,$Y88,0)</f>
        <v>369</v>
      </c>
      <c r="AF88" s="9" cm="1">
        <f t="array" ref="AF88">INDEX(D$1:D$12929,$Z88,0)</f>
        <v>0</v>
      </c>
      <c r="AG88" s="9">
        <f>5278.225*3.281</f>
        <v>17317.856225000003</v>
      </c>
      <c r="AH88">
        <v>4.2615999999999996</v>
      </c>
      <c r="AI88" s="13">
        <v>0.20899999999999999</v>
      </c>
      <c r="AJ88" s="13">
        <v>8</v>
      </c>
    </row>
    <row r="89" spans="1:37" x14ac:dyDescent="0.3">
      <c r="A89">
        <v>1495845.8159125899</v>
      </c>
      <c r="B89">
        <v>9782703.0903204903</v>
      </c>
      <c r="C89">
        <v>-3956.46</v>
      </c>
      <c r="D89">
        <v>264</v>
      </c>
      <c r="U89" s="9" t="s">
        <v>225</v>
      </c>
      <c r="V89" s="9">
        <f t="shared" si="24"/>
        <v>95777848.070507467</v>
      </c>
      <c r="W89" s="9">
        <f t="shared" si="25"/>
        <v>626335963.08319259</v>
      </c>
      <c r="X89" s="9"/>
      <c r="Y89" s="9">
        <f t="shared" si="23"/>
        <v>124</v>
      </c>
      <c r="Z89" s="9">
        <f t="shared" si="26"/>
        <v>125</v>
      </c>
      <c r="AA89" s="9" cm="1">
        <f t="array" ref="AA89">INDEX(A$1:A$12929,$Y89,0)</f>
        <v>1495941.8614460099</v>
      </c>
      <c r="AB89" s="9" cm="1">
        <f t="array" ref="AB89">INDEX(A$1:A$12929,$Z89,0)</f>
        <v>0</v>
      </c>
      <c r="AC89" s="9" cm="1">
        <f t="array" ref="AC89">INDEX(B$1:B$12929,$Y89,0)</f>
        <v>9782660.6609025095</v>
      </c>
      <c r="AD89" s="9" cm="1">
        <f t="array" ref="AD89">INDEX(B$1:B$12929,$Z89,0)</f>
        <v>0</v>
      </c>
      <c r="AE89" s="9" cm="1">
        <f t="array" ref="AE89">INDEX(D$1:D$12929,$Y89,0)</f>
        <v>369</v>
      </c>
      <c r="AF89" s="9" cm="1">
        <f t="array" ref="AF89">INDEX(D$1:D$12929,$Z89,0)</f>
        <v>0</v>
      </c>
      <c r="AG89">
        <f>7200.63*3.281</f>
        <v>23625.267030000003</v>
      </c>
      <c r="AH89">
        <v>-4.6837</v>
      </c>
      <c r="AI89">
        <v>0.23200000000000001</v>
      </c>
      <c r="AJ89" s="13">
        <v>9</v>
      </c>
      <c r="AK89" s="38" t="s">
        <v>237</v>
      </c>
    </row>
    <row r="90" spans="1:37" x14ac:dyDescent="0.3">
      <c r="A90">
        <v>1495848.56007069</v>
      </c>
      <c r="B90">
        <v>9782701.8780514095</v>
      </c>
      <c r="C90">
        <v>-3956.52</v>
      </c>
      <c r="D90">
        <v>267</v>
      </c>
      <c r="U90" s="9" t="s">
        <v>226</v>
      </c>
      <c r="V90" s="9">
        <f t="shared" si="24"/>
        <v>108143588.50860415</v>
      </c>
      <c r="W90" s="9">
        <f t="shared" si="25"/>
        <v>707201299.92841446</v>
      </c>
      <c r="X90" s="9"/>
      <c r="Y90" s="9">
        <f t="shared" si="23"/>
        <v>124</v>
      </c>
      <c r="Z90" s="9">
        <f t="shared" si="26"/>
        <v>125</v>
      </c>
      <c r="AA90" s="9" cm="1">
        <f t="array" ref="AA90">INDEX(A$1:A$12929,$Y90,0)</f>
        <v>1495941.8614460099</v>
      </c>
      <c r="AB90" s="9" cm="1">
        <f t="array" ref="AB90">INDEX(A$1:A$12929,$Z90,0)</f>
        <v>0</v>
      </c>
      <c r="AC90" s="9" cm="1">
        <f t="array" ref="AC90">INDEX(B$1:B$12929,$Y90,0)</f>
        <v>9782660.6609025095</v>
      </c>
      <c r="AD90" s="9" cm="1">
        <f t="array" ref="AD90">INDEX(B$1:B$12929,$Z90,0)</f>
        <v>0</v>
      </c>
      <c r="AE90" s="9" cm="1">
        <f t="array" ref="AE90">INDEX(D$1:D$12929,$Y90,0)</f>
        <v>369</v>
      </c>
      <c r="AF90" s="9" cm="1">
        <f t="array" ref="AF90">INDEX(D$1:D$12929,$Z90,0)</f>
        <v>0</v>
      </c>
      <c r="AG90" s="26">
        <f>8130.293*3.281</f>
        <v>26675.491333000002</v>
      </c>
      <c r="AH90" s="26">
        <v>2.7303000000000002</v>
      </c>
      <c r="AI90" s="26">
        <v>0.13100000000000001</v>
      </c>
      <c r="AJ90" s="45">
        <v>10</v>
      </c>
      <c r="AK90" t="s">
        <v>240</v>
      </c>
    </row>
    <row r="91" spans="1:37" x14ac:dyDescent="0.3">
      <c r="A91">
        <v>1495851.3042287901</v>
      </c>
      <c r="B91">
        <v>9782700.6657823194</v>
      </c>
      <c r="C91">
        <v>-3956.56</v>
      </c>
      <c r="D91">
        <v>270</v>
      </c>
      <c r="U91" s="9" t="s">
        <v>227</v>
      </c>
      <c r="V91" s="9">
        <f t="shared" si="24"/>
        <v>112574123.53315134</v>
      </c>
      <c r="W91" s="9">
        <f t="shared" si="25"/>
        <v>736174632.25397217</v>
      </c>
      <c r="X91" s="9"/>
      <c r="Y91" s="9">
        <f t="shared" si="23"/>
        <v>124</v>
      </c>
      <c r="Z91" s="9">
        <f t="shared" si="26"/>
        <v>125</v>
      </c>
      <c r="AA91" s="9" cm="1">
        <f t="array" ref="AA91">INDEX(A$1:A$12929,$Y91,0)</f>
        <v>1495941.8614460099</v>
      </c>
      <c r="AB91" s="9" cm="1">
        <f t="array" ref="AB91">INDEX(A$1:A$12929,$Z91,0)</f>
        <v>0</v>
      </c>
      <c r="AC91" s="9" cm="1">
        <f t="array" ref="AC91">INDEX(B$1:B$12929,$Y91,0)</f>
        <v>9782660.6609025095</v>
      </c>
      <c r="AD91" s="9" cm="1">
        <f t="array" ref="AD91">INDEX(B$1:B$12929,$Z91,0)</f>
        <v>0</v>
      </c>
      <c r="AE91" s="9" cm="1">
        <f t="array" ref="AE91">INDEX(D$1:D$12929,$Y91,0)</f>
        <v>369</v>
      </c>
      <c r="AF91" s="9" cm="1">
        <f t="array" ref="AF91">INDEX(D$1:D$12929,$Z91,0)</f>
        <v>0</v>
      </c>
      <c r="AG91" s="26">
        <f>8463.383*3.281</f>
        <v>27768.359623</v>
      </c>
      <c r="AH91" s="26">
        <v>2.4438</v>
      </c>
      <c r="AI91" s="26">
        <v>0.107</v>
      </c>
      <c r="AJ91" s="26">
        <v>11</v>
      </c>
      <c r="AK91" t="s">
        <v>240</v>
      </c>
    </row>
    <row r="92" spans="1:37" x14ac:dyDescent="0.3">
      <c r="A92">
        <v>1495854.04838688</v>
      </c>
      <c r="B92">
        <v>9782699.4535132404</v>
      </c>
      <c r="C92">
        <v>-3956.59</v>
      </c>
      <c r="D92">
        <v>273</v>
      </c>
      <c r="U92" s="9" t="s">
        <v>228</v>
      </c>
      <c r="V92" s="9">
        <f t="shared" si="24"/>
        <v>119676400.59929579</v>
      </c>
      <c r="W92" s="9">
        <f t="shared" si="25"/>
        <v>782619730.32124674</v>
      </c>
      <c r="X92" s="9"/>
      <c r="Y92" s="9">
        <f t="shared" si="23"/>
        <v>124</v>
      </c>
      <c r="Z92" s="9">
        <f t="shared" si="26"/>
        <v>125</v>
      </c>
      <c r="AA92" s="9" cm="1">
        <f t="array" ref="AA92">INDEX(A$1:A$12929,$Y92,0)</f>
        <v>1495941.8614460099</v>
      </c>
      <c r="AB92" s="9" cm="1">
        <f t="array" ref="AB92">INDEX(A$1:A$12929,$Z92,0)</f>
        <v>0</v>
      </c>
      <c r="AC92" s="9" cm="1">
        <f t="array" ref="AC92">INDEX(B$1:B$12929,$Y92,0)</f>
        <v>9782660.6609025095</v>
      </c>
      <c r="AD92" s="9" cm="1">
        <f t="array" ref="AD92">INDEX(B$1:B$12929,$Z92,0)</f>
        <v>0</v>
      </c>
      <c r="AE92" s="9" cm="1">
        <f t="array" ref="AE92">INDEX(D$1:D$12929,$Y92,0)</f>
        <v>369</v>
      </c>
      <c r="AF92" s="9" cm="1">
        <f t="array" ref="AF92">INDEX(D$1:D$12929,$Z92,0)</f>
        <v>0</v>
      </c>
      <c r="AG92" s="9">
        <f>8997.336*3.281</f>
        <v>29520.259416000001</v>
      </c>
      <c r="AH92">
        <v>2.1301999999999999</v>
      </c>
      <c r="AI92" s="26">
        <v>0.121</v>
      </c>
      <c r="AJ92">
        <v>12</v>
      </c>
    </row>
    <row r="93" spans="1:37" x14ac:dyDescent="0.3">
      <c r="A93">
        <v>1495856.7925449801</v>
      </c>
      <c r="B93">
        <v>9782698.2412441503</v>
      </c>
      <c r="C93">
        <v>-3956.61</v>
      </c>
      <c r="D93">
        <v>276</v>
      </c>
      <c r="U93" s="9" t="s">
        <v>229</v>
      </c>
      <c r="V93" s="9">
        <f t="shared" si="24"/>
        <v>126392154.75187838</v>
      </c>
      <c r="W93" s="9">
        <f t="shared" si="25"/>
        <v>826537175.00940955</v>
      </c>
      <c r="X93" s="9"/>
      <c r="Y93" s="9">
        <f t="shared" si="23"/>
        <v>124</v>
      </c>
      <c r="Z93" s="9">
        <f t="shared" si="26"/>
        <v>125</v>
      </c>
      <c r="AA93" s="9" cm="1">
        <f t="array" ref="AA93">INDEX(A$1:A$12929,$Y93,0)</f>
        <v>1495941.8614460099</v>
      </c>
      <c r="AB93" s="9" cm="1">
        <f t="array" ref="AB93">INDEX(A$1:A$12929,$Z93,0)</f>
        <v>0</v>
      </c>
      <c r="AC93" s="9" cm="1">
        <f t="array" ref="AC93">INDEX(B$1:B$12929,$Y93,0)</f>
        <v>9782660.6609025095</v>
      </c>
      <c r="AD93" s="9" cm="1">
        <f t="array" ref="AD93">INDEX(B$1:B$12929,$Z93,0)</f>
        <v>0</v>
      </c>
      <c r="AE93" s="9" cm="1">
        <f t="array" ref="AE93">INDEX(D$1:D$12929,$Y93,0)</f>
        <v>369</v>
      </c>
      <c r="AF93" s="9" cm="1">
        <f t="array" ref="AF93">INDEX(D$1:D$12929,$Z93,0)</f>
        <v>0</v>
      </c>
      <c r="AG93" s="46">
        <f>9502.23*3.281</f>
        <v>31176.816630000001</v>
      </c>
      <c r="AH93" s="38">
        <v>6.0000000000000001E-3</v>
      </c>
      <c r="AI93" s="26">
        <v>0.14499999999999999</v>
      </c>
      <c r="AJ93">
        <v>13</v>
      </c>
      <c r="AK93" s="38" t="s">
        <v>243</v>
      </c>
    </row>
    <row r="94" spans="1:37" x14ac:dyDescent="0.3">
      <c r="A94">
        <v>1495859.5367030799</v>
      </c>
      <c r="B94">
        <v>9782697.0289750695</v>
      </c>
      <c r="C94">
        <v>-3956.62</v>
      </c>
      <c r="D94">
        <v>279</v>
      </c>
      <c r="U94" s="2" t="s">
        <v>230</v>
      </c>
      <c r="V94" s="2">
        <f t="shared" si="24"/>
        <v>131965246.13518316</v>
      </c>
      <c r="W94" s="9">
        <f t="shared" si="25"/>
        <v>862982215.58229017</v>
      </c>
      <c r="X94" s="9"/>
      <c r="Y94" s="9">
        <f t="shared" si="23"/>
        <v>124</v>
      </c>
      <c r="Z94" s="9">
        <f t="shared" si="26"/>
        <v>125</v>
      </c>
      <c r="AA94" s="9" cm="1">
        <f t="array" ref="AA94">INDEX(A$1:A$12929,$Y94,0)</f>
        <v>1495941.8614460099</v>
      </c>
      <c r="AB94" s="9" cm="1">
        <f t="array" ref="AB94">INDEX(A$1:A$12929,$Z94,0)</f>
        <v>0</v>
      </c>
      <c r="AC94" s="9" cm="1">
        <f t="array" ref="AC94">INDEX(B$1:B$12929,$Y94,0)</f>
        <v>9782660.6609025095</v>
      </c>
      <c r="AD94" s="9" cm="1">
        <f t="array" ref="AD94">INDEX(B$1:B$12929,$Z94,0)</f>
        <v>0</v>
      </c>
      <c r="AE94" s="9" cm="1">
        <f t="array" ref="AE94">INDEX(D$1:D$12929,$Y94,0)</f>
        <v>369</v>
      </c>
      <c r="AF94" s="9" cm="1">
        <f t="array" ref="AF94">INDEX(D$1:D$12929,$Z94,0)</f>
        <v>0</v>
      </c>
      <c r="AG94" s="26">
        <f>9921.218*3.281</f>
        <v>32551.516258000003</v>
      </c>
      <c r="AH94" s="26">
        <v>-1.5653999999999999</v>
      </c>
      <c r="AI94" s="47">
        <v>0.13</v>
      </c>
      <c r="AJ94" s="47">
        <v>14</v>
      </c>
      <c r="AK94" t="s">
        <v>241</v>
      </c>
    </row>
    <row r="95" spans="1:37" x14ac:dyDescent="0.3">
      <c r="A95">
        <v>1495862.28086118</v>
      </c>
      <c r="B95">
        <v>9782695.8167059794</v>
      </c>
      <c r="C95">
        <v>-3956.65</v>
      </c>
      <c r="D95">
        <v>282</v>
      </c>
      <c r="U95" s="2" t="s">
        <v>231</v>
      </c>
      <c r="V95" s="2">
        <f t="shared" si="24"/>
        <v>139217096.48888057</v>
      </c>
      <c r="W95" s="9">
        <f t="shared" si="25"/>
        <v>910405443.05002964</v>
      </c>
      <c r="X95" s="9"/>
      <c r="Y95" s="9">
        <f t="shared" si="23"/>
        <v>124</v>
      </c>
      <c r="Z95" s="9">
        <f t="shared" si="26"/>
        <v>125</v>
      </c>
      <c r="AA95" s="9" cm="1">
        <f t="array" ref="AA95">INDEX(A$1:A$12929,$Y95,0)</f>
        <v>1495941.8614460099</v>
      </c>
      <c r="AB95" s="9" cm="1">
        <f t="array" ref="AB95">INDEX(A$1:A$12929,$Z95,0)</f>
        <v>0</v>
      </c>
      <c r="AC95" s="9" cm="1">
        <f t="array" ref="AC95">INDEX(B$1:B$12929,$Y95,0)</f>
        <v>9782660.6609025095</v>
      </c>
      <c r="AD95" s="9" cm="1">
        <f t="array" ref="AD95">INDEX(B$1:B$12929,$Z95,0)</f>
        <v>0</v>
      </c>
      <c r="AE95" s="9" cm="1">
        <f t="array" ref="AE95">INDEX(D$1:D$12929,$Y95,0)</f>
        <v>369</v>
      </c>
      <c r="AF95" s="9" cm="1">
        <f t="array" ref="AF95">INDEX(D$1:D$12929,$Z95,0)</f>
        <v>0</v>
      </c>
      <c r="AG95" s="9">
        <f>10466.416*3.281</f>
        <v>34340.310895999995</v>
      </c>
      <c r="AH95">
        <v>-1.7896000000000001</v>
      </c>
      <c r="AI95" s="40">
        <v>0.14000000000000001</v>
      </c>
      <c r="AJ95">
        <v>15</v>
      </c>
    </row>
    <row r="96" spans="1:37" x14ac:dyDescent="0.3">
      <c r="A96">
        <v>1495865.0250192799</v>
      </c>
      <c r="B96">
        <v>9782694.6044369005</v>
      </c>
      <c r="C96">
        <v>-3956.68</v>
      </c>
      <c r="D96">
        <v>285</v>
      </c>
      <c r="U96" s="2" t="s">
        <v>232</v>
      </c>
      <c r="V96" s="2">
        <f t="shared" si="24"/>
        <v>143671720.19495368</v>
      </c>
      <c r="W96" s="9">
        <f t="shared" si="25"/>
        <v>939536302.48490191</v>
      </c>
      <c r="X96" s="9"/>
      <c r="Y96" s="9">
        <f t="shared" si="23"/>
        <v>124</v>
      </c>
      <c r="Z96" s="9">
        <f t="shared" si="26"/>
        <v>125</v>
      </c>
      <c r="AA96" s="9" cm="1">
        <f t="array" ref="AA96">INDEX(A$1:A$12929,$Y96,0)</f>
        <v>1495941.8614460099</v>
      </c>
      <c r="AB96" s="9" cm="1">
        <f t="array" ref="AB96">INDEX(A$1:A$12929,$Z96,0)</f>
        <v>0</v>
      </c>
      <c r="AC96" s="9" cm="1">
        <f t="array" ref="AC96">INDEX(B$1:B$12929,$Y96,0)</f>
        <v>9782660.6609025095</v>
      </c>
      <c r="AD96" s="9" cm="1">
        <f t="array" ref="AD96">INDEX(B$1:B$12929,$Z96,0)</f>
        <v>0</v>
      </c>
      <c r="AE96" s="9" cm="1">
        <f t="array" ref="AE96">INDEX(D$1:D$12929,$Y96,0)</f>
        <v>369</v>
      </c>
      <c r="AF96" s="9" cm="1">
        <f t="array" ref="AF96">INDEX(D$1:D$12929,$Z96,0)</f>
        <v>0</v>
      </c>
      <c r="AG96" s="9">
        <f>10801.317*3.281</f>
        <v>35439.121076999996</v>
      </c>
      <c r="AH96">
        <v>-3.2938000000000001</v>
      </c>
      <c r="AI96" s="40">
        <v>0.16700000000000001</v>
      </c>
      <c r="AJ96">
        <v>16</v>
      </c>
    </row>
    <row r="97" spans="1:35" x14ac:dyDescent="0.3">
      <c r="A97">
        <v>1495867.76917737</v>
      </c>
      <c r="B97">
        <v>9782693.3921678104</v>
      </c>
      <c r="C97">
        <v>-3956.72</v>
      </c>
      <c r="D97">
        <v>288</v>
      </c>
      <c r="U97" s="9" t="s">
        <v>233</v>
      </c>
      <c r="V97" s="9">
        <f t="shared" ref="V97:V99" si="27">FORECAST(AG97,AA97:AB97,AE97:AF97)</f>
        <v>2014151.6289653257</v>
      </c>
      <c r="W97" s="9">
        <f t="shared" ref="W97:W99" si="28">FORECAST(AG97,AC97:AD97,AE97:AF97)</f>
        <v>13171475.719467942</v>
      </c>
      <c r="X97" s="9"/>
      <c r="Y97" s="9">
        <f t="shared" ref="Y97:Y99" si="29">MATCH($AG97,D$1:D$12929,1)</f>
        <v>124</v>
      </c>
      <c r="Z97" s="9">
        <f t="shared" ref="Z97:Z99" si="30">Y97+1</f>
        <v>125</v>
      </c>
      <c r="AA97" s="9" cm="1">
        <f t="array" ref="AA97">INDEX(A$1:A$12929,$Y97,0)</f>
        <v>1495941.8614460099</v>
      </c>
      <c r="AB97" s="9" cm="1">
        <f t="array" ref="AB97">INDEX(A$1:A$12929,$Z97,0)</f>
        <v>0</v>
      </c>
      <c r="AC97" s="9" cm="1">
        <f t="array" ref="AC97">INDEX(B$1:B$12929,$Y97,0)</f>
        <v>9782660.6609025095</v>
      </c>
      <c r="AD97" s="9" cm="1">
        <f t="array" ref="AD97">INDEX(B$1:B$12929,$Z97,0)</f>
        <v>0</v>
      </c>
      <c r="AE97" s="9" cm="1">
        <f t="array" ref="AE97">INDEX(D$1:D$12929,$Y97,0)</f>
        <v>369</v>
      </c>
      <c r="AF97" s="9" cm="1">
        <f t="array" ref="AF97">INDEX(D$1:D$12929,$Z97,0)</f>
        <v>0</v>
      </c>
      <c r="AG97" s="9">
        <f>151.425*3.281</f>
        <v>496.82542500000005</v>
      </c>
      <c r="AH97">
        <v>-1.6859999999999999</v>
      </c>
      <c r="AI97">
        <v>0.17499999999999999</v>
      </c>
    </row>
    <row r="98" spans="1:35" x14ac:dyDescent="0.3">
      <c r="A98">
        <v>1495870.5133354701</v>
      </c>
      <c r="B98">
        <v>9782692.1798987295</v>
      </c>
      <c r="C98">
        <v>-3956.76</v>
      </c>
      <c r="D98">
        <v>291</v>
      </c>
      <c r="U98" s="9" t="s">
        <v>234</v>
      </c>
      <c r="V98" s="9">
        <f t="shared" si="27"/>
        <v>37468540.824768499</v>
      </c>
      <c r="W98" s="9">
        <f t="shared" si="28"/>
        <v>245024241.78007489</v>
      </c>
      <c r="X98" s="9"/>
      <c r="Y98" s="9">
        <f t="shared" si="29"/>
        <v>124</v>
      </c>
      <c r="Z98" s="9">
        <f t="shared" si="30"/>
        <v>125</v>
      </c>
      <c r="AA98" s="9" cm="1">
        <f t="array" ref="AA98">INDEX(A$1:A$12929,$Y98,0)</f>
        <v>1495941.8614460099</v>
      </c>
      <c r="AB98" s="9" cm="1">
        <f t="array" ref="AB98">INDEX(A$1:A$12929,$Z98,0)</f>
        <v>0</v>
      </c>
      <c r="AC98" s="9" cm="1">
        <f t="array" ref="AC98">INDEX(B$1:B$12929,$Y98,0)</f>
        <v>9782660.6609025095</v>
      </c>
      <c r="AD98" s="9" cm="1">
        <f t="array" ref="AD98">INDEX(B$1:B$12929,$Z98,0)</f>
        <v>0</v>
      </c>
      <c r="AE98" s="9" cm="1">
        <f t="array" ref="AE98">INDEX(D$1:D$12929,$Y98,0)</f>
        <v>369</v>
      </c>
      <c r="AF98" s="9" cm="1">
        <f t="array" ref="AF98">INDEX(D$1:D$12929,$Z98,0)</f>
        <v>0</v>
      </c>
      <c r="AG98" s="9">
        <f>2816.905*3.281</f>
        <v>9242.2653050000008</v>
      </c>
      <c r="AH98">
        <v>-2.8256999999999999</v>
      </c>
      <c r="AI98">
        <v>0.246</v>
      </c>
    </row>
    <row r="99" spans="1:35" x14ac:dyDescent="0.3">
      <c r="A99">
        <v>1495873.25749357</v>
      </c>
      <c r="B99">
        <v>9782690.9676296394</v>
      </c>
      <c r="C99">
        <v>-3956.78</v>
      </c>
      <c r="D99">
        <v>294</v>
      </c>
      <c r="U99" s="9" t="s">
        <v>235</v>
      </c>
      <c r="V99" s="9">
        <f t="shared" si="27"/>
        <v>153604876.23575756</v>
      </c>
      <c r="W99" s="9">
        <f t="shared" si="28"/>
        <v>1004493836.827212</v>
      </c>
      <c r="X99" s="9"/>
      <c r="Y99" s="9">
        <f t="shared" si="29"/>
        <v>124</v>
      </c>
      <c r="Z99" s="9">
        <f t="shared" si="30"/>
        <v>125</v>
      </c>
      <c r="AA99" s="9" cm="1">
        <f t="array" ref="AA99">INDEX(A$1:A$12929,$Y99,0)</f>
        <v>1495941.8614460099</v>
      </c>
      <c r="AB99" s="9" cm="1">
        <f t="array" ref="AB99">INDEX(A$1:A$12929,$Z99,0)</f>
        <v>0</v>
      </c>
      <c r="AC99" s="9" cm="1">
        <f t="array" ref="AC99">INDEX(B$1:B$12929,$Y99,0)</f>
        <v>9782660.6609025095</v>
      </c>
      <c r="AD99" s="9" cm="1">
        <f t="array" ref="AD99">INDEX(B$1:B$12929,$Z99,0)</f>
        <v>0</v>
      </c>
      <c r="AE99" s="9" cm="1">
        <f t="array" ref="AE99">INDEX(D$1:D$12929,$Y99,0)</f>
        <v>369</v>
      </c>
      <c r="AF99" s="9" cm="1">
        <f t="array" ref="AF99">INDEX(D$1:D$12929,$Z99,0)</f>
        <v>0</v>
      </c>
      <c r="AG99" s="9">
        <f>11548.097*3.281</f>
        <v>37889.306257000004</v>
      </c>
      <c r="AH99">
        <v>3.8748</v>
      </c>
      <c r="AI99">
        <v>0.22900000000000001</v>
      </c>
    </row>
    <row r="100" spans="1:35" x14ac:dyDescent="0.3">
      <c r="A100">
        <v>1495876.0016516701</v>
      </c>
      <c r="B100">
        <v>9782689.7553605493</v>
      </c>
      <c r="C100">
        <v>-3956.8</v>
      </c>
      <c r="D100">
        <v>297</v>
      </c>
      <c r="AG100" s="9"/>
    </row>
    <row r="101" spans="1:35" x14ac:dyDescent="0.3">
      <c r="A101">
        <v>1495878.7458097599</v>
      </c>
      <c r="B101">
        <v>9782688.5430914704</v>
      </c>
      <c r="C101">
        <v>-3956.81</v>
      </c>
      <c r="D101">
        <v>300</v>
      </c>
    </row>
    <row r="102" spans="1:35" x14ac:dyDescent="0.3">
      <c r="A102">
        <v>1495881.48996786</v>
      </c>
      <c r="B102">
        <v>9782687.3308223803</v>
      </c>
      <c r="C102">
        <v>-3956.84</v>
      </c>
      <c r="D102">
        <v>303</v>
      </c>
    </row>
    <row r="103" spans="1:35" x14ac:dyDescent="0.3">
      <c r="A103">
        <v>1495884.2341259599</v>
      </c>
      <c r="B103">
        <v>9782686.1185532995</v>
      </c>
      <c r="C103">
        <v>-3956.88</v>
      </c>
      <c r="D103">
        <v>306</v>
      </c>
    </row>
    <row r="104" spans="1:35" x14ac:dyDescent="0.3">
      <c r="A104">
        <v>1495886.97828406</v>
      </c>
      <c r="B104">
        <v>9782684.9062842093</v>
      </c>
      <c r="C104">
        <v>-3956.93</v>
      </c>
      <c r="D104">
        <v>309</v>
      </c>
    </row>
    <row r="105" spans="1:35" x14ac:dyDescent="0.3">
      <c r="A105">
        <v>1495889.7224421501</v>
      </c>
      <c r="B105">
        <v>9782683.6940151304</v>
      </c>
      <c r="C105">
        <v>-3956.99</v>
      </c>
      <c r="D105">
        <v>312</v>
      </c>
    </row>
    <row r="106" spans="1:35" x14ac:dyDescent="0.3">
      <c r="A106">
        <v>1495892.46660025</v>
      </c>
      <c r="B106">
        <v>9782682.4817460403</v>
      </c>
      <c r="C106">
        <v>-3957.05</v>
      </c>
      <c r="D106">
        <v>315</v>
      </c>
    </row>
    <row r="107" spans="1:35" x14ac:dyDescent="0.3">
      <c r="A107">
        <v>1495895.2107583501</v>
      </c>
      <c r="B107">
        <v>9782681.2694769595</v>
      </c>
      <c r="C107">
        <v>-3957.09</v>
      </c>
      <c r="D107">
        <v>318</v>
      </c>
    </row>
    <row r="108" spans="1:35" x14ac:dyDescent="0.3">
      <c r="A108">
        <v>1495897.95491645</v>
      </c>
      <c r="B108">
        <v>9782680.0572078694</v>
      </c>
      <c r="C108">
        <v>-3957.11</v>
      </c>
      <c r="D108">
        <v>321</v>
      </c>
    </row>
    <row r="109" spans="1:35" x14ac:dyDescent="0.3">
      <c r="A109">
        <v>1495900.6990745401</v>
      </c>
      <c r="B109">
        <v>9782678.8449387904</v>
      </c>
      <c r="C109">
        <v>-3957.13</v>
      </c>
      <c r="D109">
        <v>324</v>
      </c>
    </row>
    <row r="110" spans="1:35" x14ac:dyDescent="0.3">
      <c r="A110">
        <v>1495903.4432326399</v>
      </c>
      <c r="B110">
        <v>9782677.6326697003</v>
      </c>
      <c r="C110">
        <v>-3957.15</v>
      </c>
      <c r="D110">
        <v>327</v>
      </c>
    </row>
    <row r="111" spans="1:35" x14ac:dyDescent="0.3">
      <c r="A111">
        <v>1495906.18739074</v>
      </c>
      <c r="B111">
        <v>9782676.4204006195</v>
      </c>
      <c r="C111">
        <v>-3957.17</v>
      </c>
      <c r="D111">
        <v>330</v>
      </c>
    </row>
    <row r="112" spans="1:35" x14ac:dyDescent="0.3">
      <c r="A112">
        <v>1495908.9315488399</v>
      </c>
      <c r="B112">
        <v>9782675.2081315294</v>
      </c>
      <c r="C112">
        <v>-3957.21</v>
      </c>
      <c r="D112">
        <v>333</v>
      </c>
    </row>
    <row r="113" spans="1:4" x14ac:dyDescent="0.3">
      <c r="A113">
        <v>1495911.67570694</v>
      </c>
      <c r="B113">
        <v>9782673.9958624393</v>
      </c>
      <c r="C113">
        <v>-3957.23</v>
      </c>
      <c r="D113">
        <v>336</v>
      </c>
    </row>
    <row r="114" spans="1:4" x14ac:dyDescent="0.3">
      <c r="A114">
        <v>1495914.4198650301</v>
      </c>
      <c r="B114">
        <v>9782672.7835933603</v>
      </c>
      <c r="C114">
        <v>-3957.26</v>
      </c>
      <c r="D114">
        <v>339</v>
      </c>
    </row>
    <row r="115" spans="1:4" x14ac:dyDescent="0.3">
      <c r="A115">
        <v>1495917.16402313</v>
      </c>
      <c r="B115">
        <v>9782671.5713242795</v>
      </c>
      <c r="C115">
        <v>-3957.29</v>
      </c>
      <c r="D115">
        <v>342</v>
      </c>
    </row>
    <row r="116" spans="1:4" x14ac:dyDescent="0.3">
      <c r="A116">
        <v>1495919.9081812301</v>
      </c>
      <c r="B116">
        <v>9782670.3590551894</v>
      </c>
      <c r="C116">
        <v>-3957.32</v>
      </c>
      <c r="D116">
        <v>345</v>
      </c>
    </row>
    <row r="117" spans="1:4" x14ac:dyDescent="0.3">
      <c r="A117">
        <v>1495922.6523393299</v>
      </c>
      <c r="B117">
        <v>9782669.1467860993</v>
      </c>
      <c r="C117">
        <v>-3957.36</v>
      </c>
      <c r="D117">
        <v>348</v>
      </c>
    </row>
    <row r="118" spans="1:4" x14ac:dyDescent="0.3">
      <c r="A118">
        <v>1495925.39649742</v>
      </c>
      <c r="B118">
        <v>9782667.9345170204</v>
      </c>
      <c r="C118">
        <v>-3957.4</v>
      </c>
      <c r="D118">
        <v>351</v>
      </c>
    </row>
    <row r="119" spans="1:4" x14ac:dyDescent="0.3">
      <c r="A119">
        <v>1495928.1406555199</v>
      </c>
      <c r="B119">
        <v>9782666.7222479302</v>
      </c>
      <c r="C119">
        <v>-3957.45</v>
      </c>
      <c r="D119">
        <v>354</v>
      </c>
    </row>
    <row r="120" spans="1:4" x14ac:dyDescent="0.3">
      <c r="A120">
        <v>1495930.88481362</v>
      </c>
      <c r="B120">
        <v>9782665.5099788494</v>
      </c>
      <c r="C120">
        <v>-3957.48</v>
      </c>
      <c r="D120">
        <v>357</v>
      </c>
    </row>
    <row r="121" spans="1:4" x14ac:dyDescent="0.3">
      <c r="A121">
        <v>1495933.6289717201</v>
      </c>
      <c r="B121">
        <v>9782664.2977097593</v>
      </c>
      <c r="C121">
        <v>-3957.49</v>
      </c>
      <c r="D121">
        <v>360</v>
      </c>
    </row>
    <row r="122" spans="1:4" x14ac:dyDescent="0.3">
      <c r="A122">
        <v>1495936.37312981</v>
      </c>
      <c r="B122">
        <v>9782663.0854406804</v>
      </c>
      <c r="C122">
        <v>-3957.49</v>
      </c>
      <c r="D122">
        <v>363</v>
      </c>
    </row>
    <row r="123" spans="1:4" x14ac:dyDescent="0.3">
      <c r="A123">
        <v>1495939.1172879101</v>
      </c>
      <c r="B123">
        <v>9782661.8731715903</v>
      </c>
      <c r="C123">
        <v>-3957.51</v>
      </c>
      <c r="D123">
        <v>366</v>
      </c>
    </row>
    <row r="124" spans="1:4" x14ac:dyDescent="0.3">
      <c r="A124">
        <v>1495941.8614460099</v>
      </c>
      <c r="B124">
        <v>9782660.6609025095</v>
      </c>
      <c r="C124">
        <v>-3957.57</v>
      </c>
      <c r="D124">
        <v>369</v>
      </c>
    </row>
    <row r="705" spans="9:14" x14ac:dyDescent="0.3">
      <c r="I705" s="12"/>
      <c r="J705" s="12"/>
      <c r="K705" s="12"/>
      <c r="L705" s="12"/>
      <c r="M705" s="12"/>
      <c r="N705" s="12" t="s">
        <v>57</v>
      </c>
    </row>
    <row r="905" spans="9:14" x14ac:dyDescent="0.3">
      <c r="I905" s="12"/>
      <c r="J905" s="12"/>
      <c r="K905" s="12"/>
      <c r="L905" s="12"/>
      <c r="N905" s="12" t="s">
        <v>58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1069-383E-420D-9AEF-95904D381790}">
  <sheetPr codeName="Sheet6"/>
  <dimension ref="A1:S142"/>
  <sheetViews>
    <sheetView tabSelected="1" workbookViewId="0"/>
  </sheetViews>
  <sheetFormatPr defaultRowHeight="14.4" x14ac:dyDescent="0.3"/>
  <cols>
    <col min="5" max="5" width="9.44140625" bestFit="1" customWidth="1"/>
    <col min="6" max="6" width="9.77734375" bestFit="1" customWidth="1"/>
    <col min="8" max="8" width="9.77734375" bestFit="1" customWidth="1"/>
    <col min="14" max="14" width="10" bestFit="1" customWidth="1"/>
    <col min="17" max="17" width="37.21875" customWidth="1"/>
    <col min="19" max="19" width="43.44140625" customWidth="1"/>
  </cols>
  <sheetData>
    <row r="1" spans="1:19" x14ac:dyDescent="0.3">
      <c r="A1" t="s">
        <v>246</v>
      </c>
      <c r="G1" t="s">
        <v>247</v>
      </c>
      <c r="H1">
        <f>FL6new2!AH4</f>
        <v>455860.19978400005</v>
      </c>
      <c r="Q1" t="str">
        <f>A1</f>
        <v>**</v>
      </c>
      <c r="S1" t="str">
        <f>Q1</f>
        <v>**</v>
      </c>
    </row>
    <row r="2" spans="1:19" x14ac:dyDescent="0.3">
      <c r="A2" t="s">
        <v>248</v>
      </c>
      <c r="G2" t="s">
        <v>249</v>
      </c>
      <c r="H2">
        <f>FL6new2!AI4</f>
        <v>2981800.4178960002</v>
      </c>
      <c r="Q2" t="str">
        <f t="shared" ref="Q2:Q9" si="0">A2</f>
        <v>** File generated by the general flowline pre-process v2.00</v>
      </c>
      <c r="S2" t="str">
        <f t="shared" ref="S2:S9" si="1">Q2</f>
        <v>** File generated by the general flowline pre-process v2.00</v>
      </c>
    </row>
    <row r="3" spans="1:19" x14ac:dyDescent="0.3">
      <c r="A3" t="s">
        <v>250</v>
      </c>
      <c r="G3" t="s">
        <v>251</v>
      </c>
      <c r="H3">
        <f>Seabed_m_offset!BH6</f>
        <v>-1205.8345200000001</v>
      </c>
      <c r="N3" s="16"/>
      <c r="Q3" t="str">
        <f t="shared" si="0"/>
        <v>** Generated by: Wei Qiao</v>
      </c>
      <c r="S3" t="str">
        <f t="shared" si="1"/>
        <v>** Generated by: Wei Qiao</v>
      </c>
    </row>
    <row r="4" spans="1:19" x14ac:dyDescent="0.3">
      <c r="A4" t="s">
        <v>252</v>
      </c>
      <c r="N4" s="16"/>
      <c r="Q4" t="str">
        <f t="shared" si="0"/>
        <v>** Generated at: 5/6/2026 4:37:12 PM</v>
      </c>
      <c r="S4" t="str">
        <f t="shared" si="1"/>
        <v>** Generated at: 5/6/2026 4:37:12 PM</v>
      </c>
    </row>
    <row r="5" spans="1:19" x14ac:dyDescent="0.3">
      <c r="A5" t="s">
        <v>253</v>
      </c>
      <c r="Q5" t="str">
        <f t="shared" si="0"/>
        <v>** Model name: BPTiber_No_BM_FL6_TestConcept</v>
      </c>
      <c r="S5" t="str">
        <f t="shared" si="1"/>
        <v>** Model name: BPTiber_No_BM_FL6_TestConcept</v>
      </c>
    </row>
    <row r="6" spans="1:19" x14ac:dyDescent="0.3">
      <c r="A6" t="s">
        <v>246</v>
      </c>
      <c r="N6" s="16"/>
      <c r="Q6" t="str">
        <f>A6</f>
        <v>**</v>
      </c>
      <c r="S6" t="str">
        <f t="shared" si="1"/>
        <v>**</v>
      </c>
    </row>
    <row r="7" spans="1:19" x14ac:dyDescent="0.3">
      <c r="A7" t="s">
        <v>246</v>
      </c>
      <c r="N7" s="16"/>
      <c r="Q7" t="str">
        <f t="shared" si="0"/>
        <v>**</v>
      </c>
      <c r="S7" t="str">
        <f t="shared" si="1"/>
        <v>**</v>
      </c>
    </row>
    <row r="8" spans="1:19" x14ac:dyDescent="0.3">
      <c r="A8" t="s">
        <v>254</v>
      </c>
      <c r="I8" t="s">
        <v>15</v>
      </c>
      <c r="K8">
        <v>15.240731502500021</v>
      </c>
      <c r="Q8" t="str">
        <f t="shared" si="0"/>
        <v>** Corridor #1</v>
      </c>
      <c r="S8" t="str">
        <f t="shared" si="1"/>
        <v>** Corridor #1</v>
      </c>
    </row>
    <row r="9" spans="1:19" x14ac:dyDescent="0.3">
      <c r="A9" t="s">
        <v>246</v>
      </c>
      <c r="I9" t="s">
        <v>0</v>
      </c>
      <c r="J9" t="s">
        <v>1</v>
      </c>
      <c r="K9" t="s">
        <v>2</v>
      </c>
      <c r="M9" t="s">
        <v>255</v>
      </c>
      <c r="N9" t="s">
        <v>256</v>
      </c>
      <c r="O9" t="s">
        <v>257</v>
      </c>
      <c r="Q9" t="str">
        <f t="shared" si="0"/>
        <v>**</v>
      </c>
      <c r="S9" t="str">
        <f t="shared" si="1"/>
        <v>**</v>
      </c>
    </row>
    <row r="10" spans="1:19" x14ac:dyDescent="0.3">
      <c r="A10">
        <v>70100001</v>
      </c>
      <c r="B10">
        <v>-27.001999999999999</v>
      </c>
      <c r="C10">
        <v>-20.789000000000001</v>
      </c>
      <c r="D10">
        <v>-24.859000000000002</v>
      </c>
      <c r="E10">
        <f>B10+$H$1</f>
        <v>455833.19778400008</v>
      </c>
      <c r="F10">
        <f>C10+$H$2</f>
        <v>2981779.6288960003</v>
      </c>
      <c r="G10">
        <f>D10+$H$3</f>
        <v>-1230.69352</v>
      </c>
      <c r="H10">
        <v>1</v>
      </c>
      <c r="I10">
        <v>-27.008922818116844</v>
      </c>
      <c r="J10">
        <v>-20.842712907586247</v>
      </c>
      <c r="K10">
        <v>-1225.3447679999999</v>
      </c>
      <c r="L10">
        <v>1</v>
      </c>
      <c r="M10">
        <f>I10-B10</f>
        <v>-6.9228181168448089E-3</v>
      </c>
      <c r="N10">
        <f>J10-C10</f>
        <v>-5.3712907586245251E-2</v>
      </c>
      <c r="O10">
        <f>K10-G10</f>
        <v>5.3487520000001041</v>
      </c>
      <c r="P10">
        <v>1</v>
      </c>
      <c r="Q10" t="str">
        <f>A10&amp;","&amp;ROUND(B10,3)&amp;","&amp;ROUND(C10,3)&amp;","&amp;ROUND(G10,2)</f>
        <v>70100001,-27.002,-20.789,-1230.69</v>
      </c>
      <c r="R10">
        <v>1</v>
      </c>
      <c r="S10" t="str">
        <f>A10+10000000&amp;","&amp;ROUND(B10,3)&amp;","&amp;ROUND(C10,3)&amp;","&amp;ROUND(G10,2)</f>
        <v>80100001,-27.002,-20.789,-1230.69</v>
      </c>
    </row>
    <row r="11" spans="1:19" x14ac:dyDescent="0.3">
      <c r="A11">
        <v>70100002</v>
      </c>
      <c r="B11">
        <v>2.915</v>
      </c>
      <c r="C11">
        <v>-14.959</v>
      </c>
      <c r="D11">
        <v>-24.859000000000002</v>
      </c>
      <c r="E11">
        <f t="shared" ref="E11:E19" si="2">B11+$H$1</f>
        <v>455863.11478400003</v>
      </c>
      <c r="F11">
        <f t="shared" ref="F11:F19" si="3">C11+$H$2</f>
        <v>2981785.4588960004</v>
      </c>
      <c r="G11">
        <f t="shared" ref="G11:G19" si="4">D11+$H$3</f>
        <v>-1230.69352</v>
      </c>
      <c r="H11">
        <f>H10+1</f>
        <v>2</v>
      </c>
      <c r="I11">
        <v>2.9138880000100471</v>
      </c>
      <c r="J11">
        <v>-14.959584000054747</v>
      </c>
      <c r="K11">
        <v>-1225.3447679999999</v>
      </c>
      <c r="L11">
        <v>2</v>
      </c>
      <c r="M11">
        <f t="shared" ref="M11:N19" si="5">I11-B11</f>
        <v>-1.1119999899529276E-3</v>
      </c>
      <c r="N11">
        <f t="shared" si="5"/>
        <v>-5.8400005474723571E-4</v>
      </c>
      <c r="O11">
        <f t="shared" ref="O11:O19" si="6">K11-G11</f>
        <v>5.3487520000001041</v>
      </c>
      <c r="P11">
        <v>2</v>
      </c>
      <c r="Q11" t="str">
        <f t="shared" ref="Q11:Q19" si="7">A11&amp;","&amp;ROUND(B11,3)&amp;","&amp;ROUND(C11,3)&amp;","&amp;ROUND(G11,2)</f>
        <v>70100002,2.915,-14.959,-1230.69</v>
      </c>
      <c r="R11">
        <v>2</v>
      </c>
      <c r="S11" t="str">
        <f t="shared" ref="S11:S19" si="8">A11+10000000&amp;","&amp;ROUND(B11,3)&amp;","&amp;ROUND(C11,3)&amp;","&amp;ROUND(G11,2)</f>
        <v>80100002,2.915,-14.959,-1230.69</v>
      </c>
    </row>
    <row r="12" spans="1:19" x14ac:dyDescent="0.3">
      <c r="A12">
        <v>70100003</v>
      </c>
      <c r="B12">
        <v>3.8109999999999999</v>
      </c>
      <c r="C12">
        <v>-14.785</v>
      </c>
      <c r="D12">
        <v>-24.853000000000002</v>
      </c>
      <c r="E12">
        <f t="shared" si="2"/>
        <v>455864.01078400004</v>
      </c>
      <c r="F12">
        <f t="shared" si="3"/>
        <v>2981785.6328960001</v>
      </c>
      <c r="G12">
        <f t="shared" si="4"/>
        <v>-1230.6875200000002</v>
      </c>
      <c r="H12">
        <f t="shared" ref="H12:H22" si="9">H11+1</f>
        <v>3</v>
      </c>
      <c r="I12">
        <v>3.8130479999817908</v>
      </c>
      <c r="J12">
        <v>-14.782800000160933</v>
      </c>
      <c r="K12">
        <v>-1225.3386720000001</v>
      </c>
      <c r="L12">
        <v>3</v>
      </c>
      <c r="M12">
        <f t="shared" si="5"/>
        <v>2.0479999817908379E-3</v>
      </c>
      <c r="N12">
        <f t="shared" si="5"/>
        <v>2.1999998390676012E-3</v>
      </c>
      <c r="O12">
        <f t="shared" si="6"/>
        <v>5.3488480000000891</v>
      </c>
      <c r="P12">
        <v>3</v>
      </c>
      <c r="Q12" t="str">
        <f t="shared" si="7"/>
        <v>70100003,3.811,-14.785,-1230.69</v>
      </c>
      <c r="R12">
        <v>3</v>
      </c>
      <c r="S12" t="str">
        <f t="shared" si="8"/>
        <v>80100003,3.811,-14.785,-1230.69</v>
      </c>
    </row>
    <row r="13" spans="1:19" x14ac:dyDescent="0.3">
      <c r="A13">
        <v>70100004</v>
      </c>
      <c r="B13">
        <v>4.71</v>
      </c>
      <c r="C13">
        <v>-14.609</v>
      </c>
      <c r="D13">
        <v>-24.847000000000001</v>
      </c>
      <c r="E13">
        <f t="shared" si="2"/>
        <v>455864.90978400008</v>
      </c>
      <c r="F13">
        <f t="shared" si="3"/>
        <v>2981785.808896</v>
      </c>
      <c r="G13">
        <f t="shared" si="4"/>
        <v>-1230.6815200000001</v>
      </c>
      <c r="H13">
        <f t="shared" si="9"/>
        <v>4</v>
      </c>
      <c r="I13">
        <v>4.7091599999694154</v>
      </c>
      <c r="J13">
        <v>-14.60906400019303</v>
      </c>
      <c r="K13">
        <v>-1225.332576</v>
      </c>
      <c r="L13">
        <v>4</v>
      </c>
      <c r="M13">
        <f t="shared" si="5"/>
        <v>-8.4000003058459782E-4</v>
      </c>
      <c r="N13">
        <f t="shared" si="5"/>
        <v>-6.4000193029656316E-5</v>
      </c>
      <c r="O13">
        <f t="shared" si="6"/>
        <v>5.3489440000000741</v>
      </c>
      <c r="P13">
        <v>4</v>
      </c>
      <c r="Q13" t="str">
        <f t="shared" si="7"/>
        <v>70100004,4.71,-14.609,-1230.68</v>
      </c>
      <c r="R13">
        <v>4</v>
      </c>
      <c r="S13" t="str">
        <f t="shared" si="8"/>
        <v>80100004,4.71,-14.609,-1230.68</v>
      </c>
    </row>
    <row r="14" spans="1:19" x14ac:dyDescent="0.3">
      <c r="A14">
        <v>70100005</v>
      </c>
      <c r="B14">
        <v>5.6059999999999999</v>
      </c>
      <c r="C14">
        <v>-14.435</v>
      </c>
      <c r="D14">
        <v>-24.841000000000001</v>
      </c>
      <c r="E14">
        <f t="shared" si="2"/>
        <v>455865.80578400008</v>
      </c>
      <c r="F14">
        <f t="shared" si="3"/>
        <v>2981785.9828960001</v>
      </c>
      <c r="G14">
        <f t="shared" si="4"/>
        <v>-1230.67552</v>
      </c>
      <c r="H14">
        <f t="shared" si="9"/>
        <v>5</v>
      </c>
      <c r="I14">
        <v>5.6083199999993667</v>
      </c>
      <c r="J14">
        <v>-14.435327999759465</v>
      </c>
      <c r="K14">
        <v>-1225.3264799999999</v>
      </c>
      <c r="L14">
        <v>5</v>
      </c>
      <c r="M14">
        <f t="shared" si="5"/>
        <v>2.3199999993668285E-3</v>
      </c>
      <c r="N14">
        <f t="shared" si="5"/>
        <v>-3.2799975946495863E-4</v>
      </c>
      <c r="O14">
        <f t="shared" si="6"/>
        <v>5.3490400000000591</v>
      </c>
      <c r="P14">
        <v>5</v>
      </c>
      <c r="Q14" t="str">
        <f t="shared" si="7"/>
        <v>70100005,5.606,-14.435,-1230.68</v>
      </c>
      <c r="R14">
        <v>5</v>
      </c>
      <c r="S14" t="str">
        <f t="shared" si="8"/>
        <v>80100005,5.606,-14.435,-1230.68</v>
      </c>
    </row>
    <row r="15" spans="1:19" x14ac:dyDescent="0.3">
      <c r="A15">
        <v>70100006</v>
      </c>
      <c r="B15">
        <v>6.5060000000000002</v>
      </c>
      <c r="C15">
        <v>-14.26</v>
      </c>
      <c r="D15">
        <v>-24.832000000000001</v>
      </c>
      <c r="E15">
        <f t="shared" si="2"/>
        <v>455866.70578400005</v>
      </c>
      <c r="F15">
        <f t="shared" si="3"/>
        <v>2981786.1578960004</v>
      </c>
      <c r="G15">
        <f t="shared" si="4"/>
        <v>-1230.6665200000002</v>
      </c>
      <c r="H15">
        <f t="shared" si="9"/>
        <v>6</v>
      </c>
      <c r="I15">
        <v>6.5044320000451989</v>
      </c>
      <c r="J15">
        <v>-14.258543999865651</v>
      </c>
      <c r="K15">
        <v>-1225.3173360000001</v>
      </c>
      <c r="L15">
        <v>6</v>
      </c>
      <c r="M15">
        <f t="shared" si="5"/>
        <v>-1.5679999548012802E-3</v>
      </c>
      <c r="N15">
        <f t="shared" si="5"/>
        <v>1.4560001343486562E-3</v>
      </c>
      <c r="O15">
        <f t="shared" si="6"/>
        <v>5.3491840000001503</v>
      </c>
      <c r="P15">
        <v>6</v>
      </c>
      <c r="Q15" t="str">
        <f t="shared" si="7"/>
        <v>70100006,6.506,-14.26,-1230.67</v>
      </c>
      <c r="R15">
        <v>6</v>
      </c>
      <c r="S15" t="str">
        <f t="shared" si="8"/>
        <v>80100006,6.506,-14.26,-1230.67</v>
      </c>
    </row>
    <row r="16" spans="1:19" x14ac:dyDescent="0.3">
      <c r="A16">
        <v>70100007</v>
      </c>
      <c r="B16">
        <v>7.4020000000000001</v>
      </c>
      <c r="C16">
        <v>-14.085000000000001</v>
      </c>
      <c r="D16">
        <v>-24.823</v>
      </c>
      <c r="E16">
        <f t="shared" si="2"/>
        <v>455867.60178400006</v>
      </c>
      <c r="F16">
        <f t="shared" si="3"/>
        <v>2981786.3328960002</v>
      </c>
      <c r="G16">
        <f t="shared" si="4"/>
        <v>-1230.6575200000002</v>
      </c>
      <c r="H16">
        <f t="shared" si="9"/>
        <v>7</v>
      </c>
      <c r="I16">
        <v>7.4035920000169426</v>
      </c>
      <c r="J16">
        <v>-14.084807999897748</v>
      </c>
      <c r="K16">
        <v>-1225.308192</v>
      </c>
      <c r="L16">
        <v>7</v>
      </c>
      <c r="M16">
        <f t="shared" si="5"/>
        <v>1.5920000169424853E-3</v>
      </c>
      <c r="N16">
        <f t="shared" si="5"/>
        <v>1.9200010225262076E-4</v>
      </c>
      <c r="O16">
        <f t="shared" si="6"/>
        <v>5.3493280000002414</v>
      </c>
      <c r="P16">
        <v>7</v>
      </c>
      <c r="Q16" t="str">
        <f t="shared" si="7"/>
        <v>70100007,7.402,-14.085,-1230.66</v>
      </c>
      <c r="R16">
        <v>7</v>
      </c>
      <c r="S16" t="str">
        <f t="shared" si="8"/>
        <v>80100007,7.402,-14.085,-1230.66</v>
      </c>
    </row>
    <row r="17" spans="1:19" x14ac:dyDescent="0.3">
      <c r="A17">
        <v>70100008</v>
      </c>
      <c r="B17">
        <v>8.3010000000000002</v>
      </c>
      <c r="C17">
        <v>-13.91</v>
      </c>
      <c r="D17">
        <v>-24.814</v>
      </c>
      <c r="E17">
        <f t="shared" si="2"/>
        <v>455868.50078400003</v>
      </c>
      <c r="F17">
        <f t="shared" si="3"/>
        <v>2981786.5078960001</v>
      </c>
      <c r="G17">
        <f t="shared" si="4"/>
        <v>-1230.6485200000002</v>
      </c>
      <c r="H17">
        <f t="shared" si="9"/>
        <v>8</v>
      </c>
      <c r="I17">
        <v>8.2997040000045672</v>
      </c>
      <c r="J17">
        <v>-13.908024000003934</v>
      </c>
      <c r="K17">
        <v>-1225.2990480000001</v>
      </c>
      <c r="L17">
        <v>8</v>
      </c>
      <c r="M17">
        <f t="shared" si="5"/>
        <v>-1.2959999954329504E-3</v>
      </c>
      <c r="N17">
        <f t="shared" si="5"/>
        <v>1.9759999960662356E-3</v>
      </c>
      <c r="O17">
        <f t="shared" si="6"/>
        <v>5.3494720000001053</v>
      </c>
      <c r="P17">
        <v>8</v>
      </c>
      <c r="Q17" t="str">
        <f t="shared" si="7"/>
        <v>70100008,8.301,-13.91,-1230.65</v>
      </c>
      <c r="R17">
        <v>8</v>
      </c>
      <c r="S17" t="str">
        <f t="shared" si="8"/>
        <v>80100008,8.301,-13.91,-1230.65</v>
      </c>
    </row>
    <row r="18" spans="1:19" x14ac:dyDescent="0.3">
      <c r="A18">
        <v>70100009</v>
      </c>
      <c r="B18">
        <v>9.1969999999999992</v>
      </c>
      <c r="C18">
        <v>-13.734999999999999</v>
      </c>
      <c r="D18">
        <v>-24.798999999999999</v>
      </c>
      <c r="E18">
        <f t="shared" si="2"/>
        <v>455869.39678400004</v>
      </c>
      <c r="F18">
        <f t="shared" si="3"/>
        <v>2981786.6828960003</v>
      </c>
      <c r="G18">
        <f t="shared" si="4"/>
        <v>-1230.6335200000001</v>
      </c>
      <c r="H18">
        <f t="shared" si="9"/>
        <v>9</v>
      </c>
      <c r="I18">
        <v>9.1988639999763109</v>
      </c>
      <c r="J18">
        <v>-13.734288000501692</v>
      </c>
      <c r="K18">
        <v>-1225.2838080000001</v>
      </c>
      <c r="L18">
        <v>9</v>
      </c>
      <c r="M18">
        <f t="shared" si="5"/>
        <v>1.8639999763117032E-3</v>
      </c>
      <c r="N18">
        <f t="shared" si="5"/>
        <v>7.1199949830713649E-4</v>
      </c>
      <c r="O18">
        <f t="shared" si="6"/>
        <v>5.3497119999999541</v>
      </c>
      <c r="P18">
        <v>9</v>
      </c>
      <c r="Q18" t="str">
        <f t="shared" si="7"/>
        <v>70100009,9.197,-13.735,-1230.63</v>
      </c>
      <c r="R18">
        <v>9</v>
      </c>
      <c r="S18" t="str">
        <f t="shared" si="8"/>
        <v>80100009,9.197,-13.735,-1230.63</v>
      </c>
    </row>
    <row r="19" spans="1:19" x14ac:dyDescent="0.3">
      <c r="A19">
        <v>70100010</v>
      </c>
      <c r="B19">
        <v>10.096</v>
      </c>
      <c r="C19">
        <v>-13.56</v>
      </c>
      <c r="D19">
        <v>-24.783000000000001</v>
      </c>
      <c r="E19">
        <f t="shared" si="2"/>
        <v>455870.29578400007</v>
      </c>
      <c r="F19">
        <f t="shared" si="3"/>
        <v>2981786.8578960001</v>
      </c>
      <c r="G19">
        <f t="shared" si="4"/>
        <v>-1230.61752</v>
      </c>
      <c r="H19">
        <f t="shared" si="9"/>
        <v>10</v>
      </c>
      <c r="I19">
        <v>10.094976000022143</v>
      </c>
      <c r="J19">
        <v>-13.560552000068128</v>
      </c>
      <c r="K19">
        <v>-1225.268568</v>
      </c>
      <c r="L19">
        <v>10</v>
      </c>
      <c r="M19">
        <f t="shared" si="5"/>
        <v>-1.0239999778569597E-3</v>
      </c>
      <c r="N19">
        <f t="shared" si="5"/>
        <v>-5.520000681276116E-4</v>
      </c>
      <c r="O19">
        <f t="shared" si="6"/>
        <v>5.3489520000000539</v>
      </c>
      <c r="P19">
        <v>10</v>
      </c>
      <c r="Q19" t="str">
        <f t="shared" si="7"/>
        <v>70100010,10.096,-13.56,-1230.62</v>
      </c>
      <c r="R19">
        <v>10</v>
      </c>
      <c r="S19" t="str">
        <f t="shared" si="8"/>
        <v>80100010,10.096,-13.56,-1230.62</v>
      </c>
    </row>
    <row r="20" spans="1:19" x14ac:dyDescent="0.3">
      <c r="A20" t="s">
        <v>246</v>
      </c>
      <c r="H20">
        <f t="shared" si="9"/>
        <v>11</v>
      </c>
      <c r="L20">
        <v>11</v>
      </c>
      <c r="P20">
        <v>11</v>
      </c>
      <c r="Q20" t="str">
        <f>A20</f>
        <v>**</v>
      </c>
      <c r="R20">
        <v>11</v>
      </c>
      <c r="S20" t="str">
        <f>Q20</f>
        <v>**</v>
      </c>
    </row>
    <row r="21" spans="1:19" x14ac:dyDescent="0.3">
      <c r="A21" t="s">
        <v>258</v>
      </c>
      <c r="H21">
        <f t="shared" si="9"/>
        <v>12</v>
      </c>
      <c r="I21" t="s">
        <v>14</v>
      </c>
      <c r="K21">
        <v>12.191505071109797</v>
      </c>
      <c r="L21">
        <v>12</v>
      </c>
      <c r="P21">
        <v>12</v>
      </c>
      <c r="Q21" t="str">
        <f t="shared" ref="Q21:Q22" si="10">A21</f>
        <v>** Corridor #2</v>
      </c>
      <c r="R21">
        <v>12</v>
      </c>
      <c r="S21" t="str">
        <f t="shared" ref="S21:S22" si="11">Q21</f>
        <v>** Corridor #2</v>
      </c>
    </row>
    <row r="22" spans="1:19" x14ac:dyDescent="0.3">
      <c r="A22" t="s">
        <v>246</v>
      </c>
      <c r="H22">
        <f t="shared" si="9"/>
        <v>13</v>
      </c>
      <c r="I22" t="s">
        <v>0</v>
      </c>
      <c r="J22" t="s">
        <v>1</v>
      </c>
      <c r="K22" t="s">
        <v>2</v>
      </c>
      <c r="L22">
        <v>13</v>
      </c>
      <c r="P22">
        <v>13</v>
      </c>
      <c r="Q22" t="str">
        <f t="shared" si="10"/>
        <v>**</v>
      </c>
      <c r="R22">
        <v>13</v>
      </c>
      <c r="S22" t="str">
        <f t="shared" si="11"/>
        <v>**</v>
      </c>
    </row>
    <row r="23" spans="1:19" x14ac:dyDescent="0.3">
      <c r="A23">
        <v>70200001</v>
      </c>
      <c r="B23">
        <v>-27.585000000000001</v>
      </c>
      <c r="C23">
        <v>-17.795999999999999</v>
      </c>
      <c r="D23">
        <v>-24.835000000000001</v>
      </c>
      <c r="E23">
        <f t="shared" ref="E23:E33" si="12">B23+$H$1</f>
        <v>455832.61478400003</v>
      </c>
      <c r="F23">
        <f t="shared" ref="F23:F33" si="13">C23+$H$2</f>
        <v>2981782.6218960001</v>
      </c>
      <c r="G23">
        <f t="shared" ref="G23:G33" si="14">D23+$H$3</f>
        <v>-1230.6695200000001</v>
      </c>
      <c r="H23">
        <f t="shared" ref="H23:H36" si="15">H22+1</f>
        <v>14</v>
      </c>
      <c r="I23">
        <v>-27.591090818168595</v>
      </c>
      <c r="J23">
        <v>-17.748143652454019</v>
      </c>
      <c r="K23">
        <v>-1225.3203840000001</v>
      </c>
      <c r="L23">
        <v>14</v>
      </c>
      <c r="M23">
        <f t="shared" ref="M23:N33" si="16">I23-B23</f>
        <v>-6.0908181685945806E-3</v>
      </c>
      <c r="N23">
        <f t="shared" si="16"/>
        <v>4.7856347545980782E-2</v>
      </c>
      <c r="O23">
        <f t="shared" ref="O23:O33" si="17">K23-G23</f>
        <v>5.3491360000000441</v>
      </c>
      <c r="P23">
        <v>14</v>
      </c>
      <c r="Q23" t="str">
        <f t="shared" ref="Q23:Q33" si="18">A23&amp;","&amp;ROUND(B23,3)&amp;","&amp;ROUND(C23,3)&amp;","&amp;ROUND(G23,2)</f>
        <v>70200001,-27.585,-17.796,-1230.67</v>
      </c>
      <c r="R23">
        <v>14</v>
      </c>
      <c r="S23" t="str">
        <f t="shared" ref="S23:S33" si="19">A23+10000000&amp;","&amp;ROUND(B23,3)&amp;","&amp;ROUND(C23,3)&amp;","&amp;ROUND(G23,2)</f>
        <v>80200001,-27.585,-17.796,-1230.67</v>
      </c>
    </row>
    <row r="24" spans="1:19" x14ac:dyDescent="0.3">
      <c r="A24">
        <v>70200002</v>
      </c>
      <c r="B24">
        <v>2.3319999999999999</v>
      </c>
      <c r="C24">
        <v>-11.965999999999999</v>
      </c>
      <c r="D24">
        <v>-24.835000000000001</v>
      </c>
      <c r="E24">
        <f t="shared" si="12"/>
        <v>455862.53178400005</v>
      </c>
      <c r="F24">
        <f t="shared" si="13"/>
        <v>2981788.4518960002</v>
      </c>
      <c r="G24">
        <f t="shared" si="14"/>
        <v>-1230.6695200000001</v>
      </c>
      <c r="H24">
        <f t="shared" si="15"/>
        <v>15</v>
      </c>
      <c r="I24">
        <v>2.3317199999582954</v>
      </c>
      <c r="J24">
        <v>-11.966448000166565</v>
      </c>
      <c r="K24">
        <v>-1225.3203840000001</v>
      </c>
      <c r="L24">
        <v>15</v>
      </c>
      <c r="M24">
        <f t="shared" si="16"/>
        <v>-2.8000004170447568E-4</v>
      </c>
      <c r="N24">
        <f t="shared" si="16"/>
        <v>-4.4800016656587616E-4</v>
      </c>
      <c r="O24">
        <f t="shared" si="17"/>
        <v>5.3491360000000441</v>
      </c>
      <c r="P24">
        <v>15</v>
      </c>
      <c r="Q24" t="str">
        <f t="shared" si="18"/>
        <v>70200002,2.332,-11.966,-1230.67</v>
      </c>
      <c r="R24">
        <v>15</v>
      </c>
      <c r="S24" t="str">
        <f t="shared" si="19"/>
        <v>80200002,2.332,-11.966,-1230.67</v>
      </c>
    </row>
    <row r="25" spans="1:19" x14ac:dyDescent="0.3">
      <c r="A25">
        <v>70200003</v>
      </c>
      <c r="B25">
        <v>3.2280000000000002</v>
      </c>
      <c r="C25">
        <v>-11.792</v>
      </c>
      <c r="D25">
        <v>-24.829000000000001</v>
      </c>
      <c r="E25">
        <f t="shared" si="12"/>
        <v>455863.42778400006</v>
      </c>
      <c r="F25">
        <f t="shared" si="13"/>
        <v>2981788.6258960003</v>
      </c>
      <c r="G25">
        <f t="shared" si="14"/>
        <v>-1230.6635200000001</v>
      </c>
      <c r="H25">
        <f t="shared" si="15"/>
        <v>16</v>
      </c>
      <c r="I25">
        <v>3.2308800000464544</v>
      </c>
      <c r="J25">
        <v>-11.792712000198662</v>
      </c>
      <c r="K25">
        <v>-1225.314288</v>
      </c>
      <c r="L25">
        <v>16</v>
      </c>
      <c r="M25">
        <f t="shared" si="16"/>
        <v>2.8800000464541675E-3</v>
      </c>
      <c r="N25">
        <f t="shared" si="16"/>
        <v>-7.1200019866246578E-4</v>
      </c>
      <c r="O25">
        <f t="shared" si="17"/>
        <v>5.3492320000000291</v>
      </c>
      <c r="P25">
        <v>16</v>
      </c>
      <c r="Q25" t="str">
        <f t="shared" si="18"/>
        <v>70200003,3.228,-11.792,-1230.66</v>
      </c>
      <c r="R25">
        <v>16</v>
      </c>
      <c r="S25" t="str">
        <f t="shared" si="19"/>
        <v>80200003,3.228,-11.792,-1230.66</v>
      </c>
    </row>
    <row r="26" spans="1:19" x14ac:dyDescent="0.3">
      <c r="A26">
        <v>70200004</v>
      </c>
      <c r="B26">
        <v>4.1269999999999998</v>
      </c>
      <c r="C26">
        <v>-11.617000000000001</v>
      </c>
      <c r="D26">
        <v>-24.82</v>
      </c>
      <c r="E26">
        <f t="shared" si="12"/>
        <v>455864.32678400003</v>
      </c>
      <c r="F26">
        <f t="shared" si="13"/>
        <v>2981788.8008960001</v>
      </c>
      <c r="G26">
        <f t="shared" si="14"/>
        <v>-1230.65452</v>
      </c>
      <c r="H26">
        <f t="shared" si="15"/>
        <v>17</v>
      </c>
      <c r="I26">
        <v>4.126992000034079</v>
      </c>
      <c r="J26">
        <v>-11.615927999839187</v>
      </c>
      <c r="K26">
        <v>-1225.3051440000002</v>
      </c>
      <c r="L26">
        <v>17</v>
      </c>
      <c r="M26">
        <f t="shared" si="16"/>
        <v>-7.9999659208240814E-6</v>
      </c>
      <c r="N26">
        <f t="shared" si="16"/>
        <v>1.0720001608142127E-3</v>
      </c>
      <c r="O26">
        <f t="shared" si="17"/>
        <v>5.3493759999998929</v>
      </c>
      <c r="P26">
        <v>17</v>
      </c>
      <c r="Q26" t="str">
        <f t="shared" si="18"/>
        <v>70200004,4.127,-11.617,-1230.65</v>
      </c>
      <c r="R26">
        <v>17</v>
      </c>
      <c r="S26" t="str">
        <f t="shared" si="19"/>
        <v>80200004,4.127,-11.617,-1230.65</v>
      </c>
    </row>
    <row r="27" spans="1:19" x14ac:dyDescent="0.3">
      <c r="A27">
        <v>70200005</v>
      </c>
      <c r="B27">
        <v>5.0229999999999997</v>
      </c>
      <c r="C27">
        <v>-11.442</v>
      </c>
      <c r="D27">
        <v>-24.811</v>
      </c>
      <c r="E27">
        <f t="shared" si="12"/>
        <v>455865.22278400004</v>
      </c>
      <c r="F27">
        <f t="shared" si="13"/>
        <v>2981788.9758960004</v>
      </c>
      <c r="G27">
        <f t="shared" si="14"/>
        <v>-1230.64552</v>
      </c>
      <c r="H27">
        <f t="shared" si="15"/>
        <v>18</v>
      </c>
      <c r="I27">
        <v>5.0231040000217035</v>
      </c>
      <c r="J27">
        <v>-11.442191999871284</v>
      </c>
      <c r="K27">
        <v>-1225.296</v>
      </c>
      <c r="L27">
        <v>18</v>
      </c>
      <c r="M27">
        <f t="shared" si="16"/>
        <v>1.0400002170385392E-4</v>
      </c>
      <c r="N27">
        <f t="shared" si="16"/>
        <v>-1.9199987128359908E-4</v>
      </c>
      <c r="O27">
        <f t="shared" si="17"/>
        <v>5.3495199999999841</v>
      </c>
      <c r="P27">
        <v>18</v>
      </c>
      <c r="Q27" t="str">
        <f t="shared" si="18"/>
        <v>70200005,5.023,-11.442,-1230.65</v>
      </c>
      <c r="R27">
        <v>18</v>
      </c>
      <c r="S27" t="str">
        <f t="shared" si="19"/>
        <v>80200005,5.023,-11.442,-1230.65</v>
      </c>
    </row>
    <row r="28" spans="1:19" x14ac:dyDescent="0.3">
      <c r="A28">
        <v>70200006</v>
      </c>
      <c r="B28">
        <v>5.923</v>
      </c>
      <c r="C28">
        <v>-11.266999999999999</v>
      </c>
      <c r="D28">
        <v>-24.805</v>
      </c>
      <c r="E28">
        <f t="shared" si="12"/>
        <v>455866.12278400006</v>
      </c>
      <c r="F28">
        <f t="shared" si="13"/>
        <v>2981789.1508960002</v>
      </c>
      <c r="G28">
        <f t="shared" si="14"/>
        <v>-1230.6395200000002</v>
      </c>
      <c r="H28">
        <f t="shared" si="15"/>
        <v>19</v>
      </c>
      <c r="I28">
        <v>5.9222639999934472</v>
      </c>
      <c r="J28">
        <v>-11.268455999903381</v>
      </c>
      <c r="K28">
        <v>-1225.289904</v>
      </c>
      <c r="L28">
        <v>19</v>
      </c>
      <c r="M28">
        <f t="shared" si="16"/>
        <v>-7.3600000655282827E-4</v>
      </c>
      <c r="N28">
        <f t="shared" si="16"/>
        <v>-1.4559999033814108E-3</v>
      </c>
      <c r="O28">
        <f t="shared" si="17"/>
        <v>5.3496160000001964</v>
      </c>
      <c r="P28">
        <v>19</v>
      </c>
      <c r="Q28" t="str">
        <f t="shared" si="18"/>
        <v>70200006,5.923,-11.267,-1230.64</v>
      </c>
      <c r="R28">
        <v>19</v>
      </c>
      <c r="S28" t="str">
        <f t="shared" si="19"/>
        <v>80200006,5.923,-11.267,-1230.64</v>
      </c>
    </row>
    <row r="29" spans="1:19" x14ac:dyDescent="0.3">
      <c r="A29">
        <v>70200007</v>
      </c>
      <c r="B29">
        <v>6.819</v>
      </c>
      <c r="C29">
        <v>-11.092000000000001</v>
      </c>
      <c r="D29">
        <v>-24.802</v>
      </c>
      <c r="E29">
        <f t="shared" si="12"/>
        <v>455867.01878400007</v>
      </c>
      <c r="F29">
        <f t="shared" si="13"/>
        <v>2981789.325896</v>
      </c>
      <c r="G29">
        <f t="shared" si="14"/>
        <v>-1230.63652</v>
      </c>
      <c r="H29">
        <f t="shared" si="15"/>
        <v>20</v>
      </c>
      <c r="I29">
        <v>6.8183760000392795</v>
      </c>
      <c r="J29">
        <v>-11.091672000475228</v>
      </c>
      <c r="K29">
        <v>-1225.2868559999999</v>
      </c>
      <c r="L29">
        <v>20</v>
      </c>
      <c r="M29">
        <f t="shared" si="16"/>
        <v>-6.2399996072048936E-4</v>
      </c>
      <c r="N29">
        <f t="shared" si="16"/>
        <v>3.2799952477269301E-4</v>
      </c>
      <c r="O29">
        <f t="shared" si="17"/>
        <v>5.3496640000000752</v>
      </c>
      <c r="P29">
        <v>20</v>
      </c>
      <c r="Q29" t="str">
        <f t="shared" si="18"/>
        <v>70200007,6.819,-11.092,-1230.64</v>
      </c>
      <c r="R29">
        <v>20</v>
      </c>
      <c r="S29" t="str">
        <f t="shared" si="19"/>
        <v>80200007,6.819,-11.092,-1230.64</v>
      </c>
    </row>
    <row r="30" spans="1:19" x14ac:dyDescent="0.3">
      <c r="A30">
        <v>70200008</v>
      </c>
      <c r="B30">
        <v>7.7169999999999996</v>
      </c>
      <c r="C30">
        <v>-10.917</v>
      </c>
      <c r="D30">
        <v>-24.798999999999999</v>
      </c>
      <c r="E30">
        <f t="shared" si="12"/>
        <v>455867.91678400006</v>
      </c>
      <c r="F30">
        <f t="shared" si="13"/>
        <v>2981789.5008960003</v>
      </c>
      <c r="G30">
        <f t="shared" si="14"/>
        <v>-1230.6335200000001</v>
      </c>
      <c r="H30">
        <f t="shared" si="15"/>
        <v>21</v>
      </c>
      <c r="I30">
        <v>7.7175360000110231</v>
      </c>
      <c r="J30">
        <v>-10.917936000041664</v>
      </c>
      <c r="K30">
        <v>-1225.2838080000001</v>
      </c>
      <c r="L30">
        <v>21</v>
      </c>
      <c r="M30">
        <f t="shared" si="16"/>
        <v>5.3600001102349637E-4</v>
      </c>
      <c r="N30">
        <f t="shared" si="16"/>
        <v>-9.3600004166383144E-4</v>
      </c>
      <c r="O30">
        <f t="shared" si="17"/>
        <v>5.3497119999999541</v>
      </c>
      <c r="P30">
        <v>21</v>
      </c>
      <c r="Q30" t="str">
        <f t="shared" si="18"/>
        <v>70200008,7.717,-10.917,-1230.63</v>
      </c>
      <c r="R30">
        <v>21</v>
      </c>
      <c r="S30" t="str">
        <f t="shared" si="19"/>
        <v>80200008,7.717,-10.917,-1230.63</v>
      </c>
    </row>
    <row r="31" spans="1:19" x14ac:dyDescent="0.3">
      <c r="A31">
        <v>70200009</v>
      </c>
      <c r="B31">
        <v>8.6140000000000008</v>
      </c>
      <c r="C31">
        <v>-10.742000000000001</v>
      </c>
      <c r="D31">
        <v>-24.795000000000002</v>
      </c>
      <c r="E31">
        <f t="shared" si="12"/>
        <v>455868.81378400006</v>
      </c>
      <c r="F31">
        <f t="shared" si="13"/>
        <v>2981789.6758960001</v>
      </c>
      <c r="G31">
        <f t="shared" si="14"/>
        <v>-1230.6295200000002</v>
      </c>
      <c r="H31">
        <f t="shared" si="15"/>
        <v>22</v>
      </c>
      <c r="I31">
        <v>8.6136479999986477</v>
      </c>
      <c r="J31">
        <v>-10.741152000147849</v>
      </c>
      <c r="K31">
        <v>-1225.2807600000001</v>
      </c>
      <c r="L31">
        <v>22</v>
      </c>
      <c r="M31">
        <f t="shared" si="16"/>
        <v>-3.5200000135304776E-4</v>
      </c>
      <c r="N31">
        <f t="shared" si="16"/>
        <v>8.4799985215155971E-4</v>
      </c>
      <c r="O31">
        <f t="shared" si="17"/>
        <v>5.3487600000000839</v>
      </c>
      <c r="P31">
        <v>22</v>
      </c>
      <c r="Q31" t="str">
        <f t="shared" si="18"/>
        <v>70200009,8.614,-10.742,-1230.63</v>
      </c>
      <c r="R31">
        <v>22</v>
      </c>
      <c r="S31" t="str">
        <f t="shared" si="19"/>
        <v>80200009,8.614,-10.742,-1230.63</v>
      </c>
    </row>
    <row r="32" spans="1:19" x14ac:dyDescent="0.3">
      <c r="A32">
        <v>70200010</v>
      </c>
      <c r="B32">
        <v>9.5129999999999999</v>
      </c>
      <c r="C32">
        <v>-10.567</v>
      </c>
      <c r="D32">
        <v>-24.774000000000001</v>
      </c>
      <c r="E32">
        <f t="shared" si="12"/>
        <v>455869.71278400003</v>
      </c>
      <c r="F32">
        <f t="shared" si="13"/>
        <v>2981789.8508960004</v>
      </c>
      <c r="G32">
        <f t="shared" si="14"/>
        <v>-1230.6085200000002</v>
      </c>
      <c r="H32">
        <f t="shared" si="15"/>
        <v>23</v>
      </c>
      <c r="I32">
        <v>9.5128079999703914</v>
      </c>
      <c r="J32">
        <v>-10.567416000179946</v>
      </c>
      <c r="K32">
        <v>-1225.2594240000001</v>
      </c>
      <c r="L32">
        <v>23</v>
      </c>
      <c r="M32">
        <f t="shared" si="16"/>
        <v>-1.9200002960850782E-4</v>
      </c>
      <c r="N32">
        <f t="shared" si="16"/>
        <v>-4.1600017994625205E-4</v>
      </c>
      <c r="O32">
        <f t="shared" si="17"/>
        <v>5.3490960000001451</v>
      </c>
      <c r="P32">
        <v>23</v>
      </c>
      <c r="Q32" t="str">
        <f t="shared" si="18"/>
        <v>70200010,9.513,-10.567,-1230.61</v>
      </c>
      <c r="R32">
        <v>23</v>
      </c>
      <c r="S32" t="str">
        <f t="shared" si="19"/>
        <v>80200010,9.513,-10.567,-1230.61</v>
      </c>
    </row>
    <row r="33" spans="1:19" x14ac:dyDescent="0.3">
      <c r="A33">
        <v>70200011</v>
      </c>
      <c r="B33">
        <v>10.409000000000001</v>
      </c>
      <c r="C33">
        <v>-10.393000000000001</v>
      </c>
      <c r="D33">
        <v>-24.75</v>
      </c>
      <c r="E33">
        <f t="shared" si="12"/>
        <v>455870.60878400004</v>
      </c>
      <c r="F33">
        <f t="shared" si="13"/>
        <v>2981790.024896</v>
      </c>
      <c r="G33">
        <f t="shared" si="14"/>
        <v>-1230.5845200000001</v>
      </c>
      <c r="H33">
        <f t="shared" si="15"/>
        <v>24</v>
      </c>
      <c r="I33">
        <v>10.408919999958016</v>
      </c>
      <c r="J33">
        <v>-10.393680000212044</v>
      </c>
      <c r="K33">
        <v>-1225.23504</v>
      </c>
      <c r="L33">
        <v>24</v>
      </c>
      <c r="M33">
        <f t="shared" si="16"/>
        <v>-8.0000041984717996E-5</v>
      </c>
      <c r="N33">
        <f t="shared" si="16"/>
        <v>-6.8000021204284167E-4</v>
      </c>
      <c r="O33">
        <f t="shared" si="17"/>
        <v>5.3494800000000851</v>
      </c>
      <c r="P33">
        <v>24</v>
      </c>
      <c r="Q33" t="str">
        <f t="shared" si="18"/>
        <v>70200011,10.409,-10.393,-1230.58</v>
      </c>
      <c r="R33">
        <v>24</v>
      </c>
      <c r="S33" t="str">
        <f t="shared" si="19"/>
        <v>80200011,10.409,-10.393,-1230.58</v>
      </c>
    </row>
    <row r="34" spans="1:19" x14ac:dyDescent="0.3">
      <c r="A34" t="s">
        <v>246</v>
      </c>
      <c r="H34">
        <f t="shared" si="15"/>
        <v>25</v>
      </c>
      <c r="L34">
        <v>25</v>
      </c>
      <c r="P34">
        <v>25</v>
      </c>
      <c r="Q34" t="str">
        <f>A34</f>
        <v>**</v>
      </c>
      <c r="R34">
        <v>25</v>
      </c>
      <c r="S34" t="str">
        <f>Q34</f>
        <v>**</v>
      </c>
    </row>
    <row r="35" spans="1:19" x14ac:dyDescent="0.3">
      <c r="A35" t="s">
        <v>259</v>
      </c>
      <c r="H35">
        <f t="shared" si="15"/>
        <v>26</v>
      </c>
      <c r="I35" t="s">
        <v>13</v>
      </c>
      <c r="K35">
        <v>9.1452704194951018</v>
      </c>
      <c r="L35">
        <v>26</v>
      </c>
      <c r="P35">
        <v>26</v>
      </c>
      <c r="Q35" t="str">
        <f t="shared" ref="Q35:Q36" si="20">A35</f>
        <v>** Corridor #3</v>
      </c>
      <c r="R35">
        <v>26</v>
      </c>
      <c r="S35" t="str">
        <f t="shared" ref="S35:S36" si="21">Q35</f>
        <v>** Corridor #3</v>
      </c>
    </row>
    <row r="36" spans="1:19" x14ac:dyDescent="0.3">
      <c r="A36" t="s">
        <v>246</v>
      </c>
      <c r="H36">
        <f t="shared" si="15"/>
        <v>27</v>
      </c>
      <c r="I36" t="s">
        <v>0</v>
      </c>
      <c r="J36" t="s">
        <v>1</v>
      </c>
      <c r="K36" t="s">
        <v>2</v>
      </c>
      <c r="L36">
        <v>27</v>
      </c>
      <c r="P36">
        <v>27</v>
      </c>
      <c r="Q36" t="str">
        <f t="shared" si="20"/>
        <v>**</v>
      </c>
      <c r="R36">
        <v>27</v>
      </c>
      <c r="S36" t="str">
        <f t="shared" si="21"/>
        <v>**</v>
      </c>
    </row>
    <row r="37" spans="1:19" x14ac:dyDescent="0.3">
      <c r="A37">
        <v>70300001</v>
      </c>
      <c r="B37">
        <v>-28.167999999999999</v>
      </c>
      <c r="C37">
        <v>-14.805999999999999</v>
      </c>
      <c r="D37">
        <v>-24.789000000000001</v>
      </c>
      <c r="E37">
        <f t="shared" ref="E37:E48" si="22">B37+$H$1</f>
        <v>455832.03178400005</v>
      </c>
      <c r="F37">
        <f t="shared" ref="F37:F48" si="23">C37+$H$2</f>
        <v>2981785.6118960003</v>
      </c>
      <c r="G37">
        <f t="shared" ref="G37:G48" si="24">D37+$H$3</f>
        <v>-1230.6235200000001</v>
      </c>
      <c r="H37">
        <f t="shared" ref="H37:H51" si="25">H36+1</f>
        <v>28</v>
      </c>
      <c r="I37">
        <v>-28.173258818103932</v>
      </c>
      <c r="J37">
        <v>-14.879499549977481</v>
      </c>
      <c r="K37">
        <v>-1225.274664</v>
      </c>
      <c r="L37">
        <v>28</v>
      </c>
      <c r="M37">
        <f t="shared" ref="M37:N48" si="26">I37-B37</f>
        <v>-5.2588181039325832E-3</v>
      </c>
      <c r="N37">
        <f t="shared" si="26"/>
        <v>-7.3499549977482204E-2</v>
      </c>
      <c r="O37">
        <f t="shared" ref="O37:O48" si="27">K37-G37</f>
        <v>5.3488560000000689</v>
      </c>
      <c r="P37">
        <v>28</v>
      </c>
      <c r="Q37" t="str">
        <f t="shared" ref="Q37:Q48" si="28">A37&amp;","&amp;ROUND(B37,3)&amp;","&amp;ROUND(C37,3)&amp;","&amp;ROUND(G37,2)</f>
        <v>70300001,-28.168,-14.806,-1230.62</v>
      </c>
      <c r="R37">
        <v>28</v>
      </c>
      <c r="S37" t="str">
        <f t="shared" ref="S37:S48" si="29">A37+10000000&amp;","&amp;ROUND(B37,3)&amp;","&amp;ROUND(C37,3)&amp;","&amp;ROUND(G37,2)</f>
        <v>80300001,-28.168,-14.806,-1230.62</v>
      </c>
    </row>
    <row r="38" spans="1:19" x14ac:dyDescent="0.3">
      <c r="A38">
        <v>70300002</v>
      </c>
      <c r="B38">
        <v>1.7490000000000001</v>
      </c>
      <c r="C38">
        <v>-8.9760000000000009</v>
      </c>
      <c r="D38">
        <v>-24.789000000000001</v>
      </c>
      <c r="E38">
        <f t="shared" si="22"/>
        <v>455861.94878400007</v>
      </c>
      <c r="F38">
        <f t="shared" si="23"/>
        <v>2981791.4418960004</v>
      </c>
      <c r="G38">
        <f t="shared" si="24"/>
        <v>-1230.6235200000001</v>
      </c>
      <c r="H38">
        <f t="shared" si="25"/>
        <v>29</v>
      </c>
      <c r="I38">
        <v>1.749552000022959</v>
      </c>
      <c r="J38">
        <v>-8.9763599997386336</v>
      </c>
      <c r="K38">
        <v>-1225.274664</v>
      </c>
      <c r="L38">
        <v>29</v>
      </c>
      <c r="M38">
        <f t="shared" si="26"/>
        <v>5.5200002295885398E-4</v>
      </c>
      <c r="N38">
        <f t="shared" si="26"/>
        <v>-3.599997386327658E-4</v>
      </c>
      <c r="O38">
        <f t="shared" si="27"/>
        <v>5.3488560000000689</v>
      </c>
      <c r="P38">
        <v>29</v>
      </c>
      <c r="Q38" t="str">
        <f t="shared" si="28"/>
        <v>70300002,1.749,-8.976,-1230.62</v>
      </c>
      <c r="R38">
        <v>29</v>
      </c>
      <c r="S38" t="str">
        <f t="shared" si="29"/>
        <v>80300002,1.749,-8.976,-1230.62</v>
      </c>
    </row>
    <row r="39" spans="1:19" x14ac:dyDescent="0.3">
      <c r="A39">
        <v>70300003</v>
      </c>
      <c r="B39">
        <v>2.645</v>
      </c>
      <c r="C39">
        <v>-8.8019999999999996</v>
      </c>
      <c r="D39">
        <v>-24.789000000000001</v>
      </c>
      <c r="E39">
        <f t="shared" si="22"/>
        <v>455862.84478400007</v>
      </c>
      <c r="F39">
        <f t="shared" si="23"/>
        <v>2981791.6158960001</v>
      </c>
      <c r="G39">
        <f t="shared" si="24"/>
        <v>-1230.6235200000001</v>
      </c>
      <c r="H39">
        <f t="shared" si="25"/>
        <v>30</v>
      </c>
      <c r="I39">
        <v>2.6456640000105835</v>
      </c>
      <c r="J39">
        <v>-8.7995759998448193</v>
      </c>
      <c r="K39">
        <v>-1225.274664</v>
      </c>
      <c r="L39">
        <v>30</v>
      </c>
      <c r="M39">
        <f t="shared" si="26"/>
        <v>6.6400001058353197E-4</v>
      </c>
      <c r="N39">
        <f t="shared" si="26"/>
        <v>2.4240001551802948E-3</v>
      </c>
      <c r="O39">
        <f t="shared" si="27"/>
        <v>5.3488560000000689</v>
      </c>
      <c r="P39">
        <v>30</v>
      </c>
      <c r="Q39" t="str">
        <f t="shared" si="28"/>
        <v>70300003,2.645,-8.802,-1230.62</v>
      </c>
      <c r="R39">
        <v>30</v>
      </c>
      <c r="S39" t="str">
        <f t="shared" si="29"/>
        <v>80300003,2.645,-8.802,-1230.62</v>
      </c>
    </row>
    <row r="40" spans="1:19" x14ac:dyDescent="0.3">
      <c r="A40">
        <v>70300004</v>
      </c>
      <c r="B40">
        <v>3.5449999999999999</v>
      </c>
      <c r="C40">
        <v>-8.6270000000000007</v>
      </c>
      <c r="D40">
        <v>-24.78</v>
      </c>
      <c r="E40">
        <f t="shared" si="22"/>
        <v>455863.74478400004</v>
      </c>
      <c r="F40">
        <f t="shared" si="23"/>
        <v>2981791.7908960003</v>
      </c>
      <c r="G40">
        <f t="shared" si="24"/>
        <v>-1230.6145200000001</v>
      </c>
      <c r="H40">
        <f t="shared" si="25"/>
        <v>31</v>
      </c>
      <c r="I40">
        <v>3.5448240000405349</v>
      </c>
      <c r="J40">
        <v>-8.6258399998769164</v>
      </c>
      <c r="K40">
        <v>-1225.2655200000002</v>
      </c>
      <c r="L40">
        <v>31</v>
      </c>
      <c r="M40">
        <f t="shared" si="26"/>
        <v>-1.7599995946504521E-4</v>
      </c>
      <c r="N40">
        <f t="shared" si="26"/>
        <v>1.1600001230842594E-3</v>
      </c>
      <c r="O40">
        <f t="shared" si="27"/>
        <v>5.3489999999999327</v>
      </c>
      <c r="P40">
        <v>31</v>
      </c>
      <c r="Q40" t="str">
        <f t="shared" si="28"/>
        <v>70300004,3.545,-8.627,-1230.61</v>
      </c>
      <c r="R40">
        <v>31</v>
      </c>
      <c r="S40" t="str">
        <f t="shared" si="29"/>
        <v>80300004,3.545,-8.627,-1230.61</v>
      </c>
    </row>
    <row r="41" spans="1:19" x14ac:dyDescent="0.3">
      <c r="A41">
        <v>70300005</v>
      </c>
      <c r="B41">
        <v>4.4409999999999998</v>
      </c>
      <c r="C41">
        <v>-8.452</v>
      </c>
      <c r="D41">
        <v>-24.774000000000001</v>
      </c>
      <c r="E41">
        <f t="shared" si="22"/>
        <v>455864.64078400005</v>
      </c>
      <c r="F41">
        <f t="shared" si="23"/>
        <v>2981791.9658960002</v>
      </c>
      <c r="G41">
        <f t="shared" si="24"/>
        <v>-1230.6085200000002</v>
      </c>
      <c r="H41">
        <f t="shared" si="25"/>
        <v>32</v>
      </c>
      <c r="I41">
        <v>4.4409360000281595</v>
      </c>
      <c r="J41">
        <v>-8.4490559999831021</v>
      </c>
      <c r="K41">
        <v>-1225.2594240000001</v>
      </c>
      <c r="L41">
        <v>32</v>
      </c>
      <c r="M41">
        <f t="shared" si="26"/>
        <v>-6.3999971840367209E-5</v>
      </c>
      <c r="N41">
        <f t="shared" si="26"/>
        <v>2.9440000168978742E-3</v>
      </c>
      <c r="O41">
        <f t="shared" si="27"/>
        <v>5.3490960000001451</v>
      </c>
      <c r="P41">
        <v>32</v>
      </c>
      <c r="Q41" t="str">
        <f t="shared" si="28"/>
        <v>70300005,4.441,-8.452,-1230.61</v>
      </c>
      <c r="R41">
        <v>32</v>
      </c>
      <c r="S41" t="str">
        <f t="shared" si="29"/>
        <v>80300005,4.441,-8.452,-1230.61</v>
      </c>
    </row>
    <row r="42" spans="1:19" x14ac:dyDescent="0.3">
      <c r="A42">
        <v>70300006</v>
      </c>
      <c r="B42">
        <v>5.34</v>
      </c>
      <c r="C42">
        <v>-8.2769999999999992</v>
      </c>
      <c r="D42">
        <v>-24.765000000000001</v>
      </c>
      <c r="E42">
        <f t="shared" si="22"/>
        <v>455865.53978400008</v>
      </c>
      <c r="F42">
        <f t="shared" si="23"/>
        <v>2981792.1408960004</v>
      </c>
      <c r="G42">
        <f t="shared" si="24"/>
        <v>-1230.5995200000002</v>
      </c>
      <c r="H42">
        <f t="shared" si="25"/>
        <v>33</v>
      </c>
      <c r="I42">
        <v>5.3400959999999031</v>
      </c>
      <c r="J42">
        <v>-8.2753200000151992</v>
      </c>
      <c r="K42">
        <v>-1225.25028</v>
      </c>
      <c r="L42">
        <v>33</v>
      </c>
      <c r="M42">
        <f t="shared" si="26"/>
        <v>9.5999999903284561E-5</v>
      </c>
      <c r="N42">
        <f t="shared" si="26"/>
        <v>1.6799999848000624E-3</v>
      </c>
      <c r="O42">
        <f t="shared" si="27"/>
        <v>5.3492400000002363</v>
      </c>
      <c r="P42">
        <v>33</v>
      </c>
      <c r="Q42" t="str">
        <f t="shared" si="28"/>
        <v>70300006,5.34,-8.277,-1230.6</v>
      </c>
      <c r="R42">
        <v>33</v>
      </c>
      <c r="S42" t="str">
        <f t="shared" si="29"/>
        <v>80300006,5.34,-8.277,-1230.6</v>
      </c>
    </row>
    <row r="43" spans="1:19" x14ac:dyDescent="0.3">
      <c r="A43">
        <v>70300007</v>
      </c>
      <c r="B43">
        <v>6.2359999999999998</v>
      </c>
      <c r="C43">
        <v>-8.1020000000000003</v>
      </c>
      <c r="D43">
        <v>-24.759</v>
      </c>
      <c r="E43">
        <f t="shared" si="22"/>
        <v>455866.43578400003</v>
      </c>
      <c r="F43">
        <f t="shared" si="23"/>
        <v>2981792.3158960002</v>
      </c>
      <c r="G43">
        <f t="shared" si="24"/>
        <v>-1230.5935200000001</v>
      </c>
      <c r="H43">
        <f t="shared" si="25"/>
        <v>34</v>
      </c>
      <c r="I43">
        <v>6.2362079999875277</v>
      </c>
      <c r="J43">
        <v>-8.1015840000472963</v>
      </c>
      <c r="K43">
        <v>-1225.2441840000001</v>
      </c>
      <c r="L43">
        <v>34</v>
      </c>
      <c r="M43">
        <f t="shared" si="26"/>
        <v>2.0799998752796256E-4</v>
      </c>
      <c r="N43">
        <f t="shared" si="26"/>
        <v>4.1599995270402701E-4</v>
      </c>
      <c r="O43">
        <f t="shared" si="27"/>
        <v>5.3493359999999939</v>
      </c>
      <c r="P43">
        <v>34</v>
      </c>
      <c r="Q43" t="str">
        <f t="shared" si="28"/>
        <v>70300007,6.236,-8.102,-1230.59</v>
      </c>
      <c r="R43">
        <v>34</v>
      </c>
      <c r="S43" t="str">
        <f t="shared" si="29"/>
        <v>80300007,6.236,-8.102,-1230.59</v>
      </c>
    </row>
    <row r="44" spans="1:19" x14ac:dyDescent="0.3">
      <c r="A44">
        <v>70300008</v>
      </c>
      <c r="B44">
        <v>7.1349999999999998</v>
      </c>
      <c r="C44">
        <v>-7.9269999999999996</v>
      </c>
      <c r="D44">
        <v>-24.753</v>
      </c>
      <c r="E44">
        <f t="shared" si="22"/>
        <v>455867.33478400006</v>
      </c>
      <c r="F44">
        <f t="shared" si="23"/>
        <v>2981792.4908960001</v>
      </c>
      <c r="G44">
        <f t="shared" si="24"/>
        <v>-1230.58752</v>
      </c>
      <c r="H44">
        <f t="shared" si="25"/>
        <v>35</v>
      </c>
      <c r="I44">
        <v>7.1353679999592714</v>
      </c>
      <c r="J44">
        <v>-7.924800000153482</v>
      </c>
      <c r="K44">
        <v>-1225.2380880000001</v>
      </c>
      <c r="L44">
        <v>35</v>
      </c>
      <c r="M44">
        <f t="shared" si="26"/>
        <v>3.6799995927161433E-4</v>
      </c>
      <c r="N44">
        <f t="shared" si="26"/>
        <v>2.1999998465176418E-3</v>
      </c>
      <c r="O44">
        <f t="shared" si="27"/>
        <v>5.3494319999999789</v>
      </c>
      <c r="P44">
        <v>35</v>
      </c>
      <c r="Q44" t="str">
        <f t="shared" si="28"/>
        <v>70300008,7.135,-7.927,-1230.59</v>
      </c>
      <c r="R44">
        <v>35</v>
      </c>
      <c r="S44" t="str">
        <f t="shared" si="29"/>
        <v>80300008,7.135,-7.927,-1230.59</v>
      </c>
    </row>
    <row r="45" spans="1:19" x14ac:dyDescent="0.3">
      <c r="A45">
        <v>70300009</v>
      </c>
      <c r="B45">
        <v>8.0310000000000006</v>
      </c>
      <c r="C45">
        <v>-7.7519999999999998</v>
      </c>
      <c r="D45">
        <v>-24.744</v>
      </c>
      <c r="E45">
        <f t="shared" si="22"/>
        <v>455868.23078400007</v>
      </c>
      <c r="F45">
        <f t="shared" si="23"/>
        <v>2981792.6658960003</v>
      </c>
      <c r="G45">
        <f t="shared" si="24"/>
        <v>-1230.57852</v>
      </c>
      <c r="H45">
        <f t="shared" si="25"/>
        <v>36</v>
      </c>
      <c r="I45">
        <v>8.0314800000633113</v>
      </c>
      <c r="J45">
        <v>-7.7510640001855791</v>
      </c>
      <c r="K45">
        <v>-1225.2289440000002</v>
      </c>
      <c r="L45">
        <v>36</v>
      </c>
      <c r="M45">
        <f t="shared" si="26"/>
        <v>4.8000006331072598E-4</v>
      </c>
      <c r="N45">
        <f t="shared" si="26"/>
        <v>9.3599981442071822E-4</v>
      </c>
      <c r="O45">
        <f t="shared" si="27"/>
        <v>5.3495759999998427</v>
      </c>
      <c r="P45">
        <v>36</v>
      </c>
      <c r="Q45" t="str">
        <f t="shared" si="28"/>
        <v>70300009,8.031,-7.752,-1230.58</v>
      </c>
      <c r="R45">
        <v>36</v>
      </c>
      <c r="S45" t="str">
        <f t="shared" si="29"/>
        <v>80300009,8.031,-7.752,-1230.58</v>
      </c>
    </row>
    <row r="46" spans="1:19" x14ac:dyDescent="0.3">
      <c r="A46">
        <v>70300010</v>
      </c>
      <c r="B46">
        <v>8.93</v>
      </c>
      <c r="C46">
        <v>-7.577</v>
      </c>
      <c r="D46">
        <v>-24.728000000000002</v>
      </c>
      <c r="E46">
        <f t="shared" si="22"/>
        <v>455869.12978400005</v>
      </c>
      <c r="F46">
        <f t="shared" si="23"/>
        <v>2981792.8408960002</v>
      </c>
      <c r="G46">
        <f t="shared" si="24"/>
        <v>-1230.5625200000002</v>
      </c>
      <c r="H46">
        <f t="shared" si="25"/>
        <v>37</v>
      </c>
      <c r="I46">
        <v>8.9275919999927282</v>
      </c>
      <c r="J46">
        <v>-7.5773279997520149</v>
      </c>
      <c r="K46">
        <v>-1225.213704</v>
      </c>
      <c r="L46">
        <v>37</v>
      </c>
      <c r="M46">
        <f t="shared" si="26"/>
        <v>-2.4080000072714824E-3</v>
      </c>
      <c r="N46">
        <f t="shared" si="26"/>
        <v>-3.2799975201491804E-4</v>
      </c>
      <c r="O46">
        <f t="shared" si="27"/>
        <v>5.3488160000001699</v>
      </c>
      <c r="P46">
        <v>37</v>
      </c>
      <c r="Q46" t="str">
        <f t="shared" si="28"/>
        <v>70300010,8.93,-7.577,-1230.56</v>
      </c>
      <c r="R46">
        <v>37</v>
      </c>
      <c r="S46" t="str">
        <f t="shared" si="29"/>
        <v>80300010,8.93,-7.577,-1230.56</v>
      </c>
    </row>
    <row r="47" spans="1:19" x14ac:dyDescent="0.3">
      <c r="A47">
        <v>70300011</v>
      </c>
      <c r="B47">
        <v>9.8260000000000005</v>
      </c>
      <c r="C47">
        <v>-7.4029999999999996</v>
      </c>
      <c r="D47">
        <v>-24.701000000000001</v>
      </c>
      <c r="E47">
        <f t="shared" si="22"/>
        <v>455870.02578400006</v>
      </c>
      <c r="F47">
        <f t="shared" si="23"/>
        <v>2981793.0148960003</v>
      </c>
      <c r="G47">
        <f t="shared" si="24"/>
        <v>-1230.5355200000001</v>
      </c>
      <c r="H47">
        <f t="shared" si="25"/>
        <v>38</v>
      </c>
      <c r="I47">
        <v>9.8267520000226796</v>
      </c>
      <c r="J47">
        <v>-7.4005439998582006</v>
      </c>
      <c r="K47">
        <v>-1225.1862719999999</v>
      </c>
      <c r="L47">
        <v>38</v>
      </c>
      <c r="M47">
        <f t="shared" si="26"/>
        <v>7.5200002267905575E-4</v>
      </c>
      <c r="N47">
        <f t="shared" si="26"/>
        <v>2.4560001417990307E-3</v>
      </c>
      <c r="O47">
        <f t="shared" si="27"/>
        <v>5.3492480000002161</v>
      </c>
      <c r="P47">
        <v>38</v>
      </c>
      <c r="Q47" t="str">
        <f t="shared" si="28"/>
        <v>70300011,9.826,-7.403,-1230.54</v>
      </c>
      <c r="R47">
        <v>38</v>
      </c>
      <c r="S47" t="str">
        <f t="shared" si="29"/>
        <v>80300011,9.826,-7.403,-1230.54</v>
      </c>
    </row>
    <row r="48" spans="1:19" x14ac:dyDescent="0.3">
      <c r="A48">
        <v>70300012</v>
      </c>
      <c r="B48">
        <v>10.726000000000001</v>
      </c>
      <c r="C48">
        <v>-7.2270000000000003</v>
      </c>
      <c r="D48">
        <v>-24.670999999999999</v>
      </c>
      <c r="E48">
        <f t="shared" si="22"/>
        <v>455870.92578400008</v>
      </c>
      <c r="F48">
        <f t="shared" si="23"/>
        <v>2981793.1908960002</v>
      </c>
      <c r="G48">
        <f t="shared" si="24"/>
        <v>-1230.5055200000002</v>
      </c>
      <c r="H48">
        <f t="shared" si="25"/>
        <v>39</v>
      </c>
      <c r="I48">
        <v>10.722864000010304</v>
      </c>
      <c r="J48">
        <v>-7.2268079998902977</v>
      </c>
      <c r="K48">
        <v>-1225.155792</v>
      </c>
      <c r="L48">
        <v>39</v>
      </c>
      <c r="M48">
        <f t="shared" si="26"/>
        <v>-3.1359999896967139E-3</v>
      </c>
      <c r="N48">
        <f t="shared" si="26"/>
        <v>1.9200010970266135E-4</v>
      </c>
      <c r="O48">
        <f t="shared" si="27"/>
        <v>5.349728000000141</v>
      </c>
      <c r="P48">
        <v>39</v>
      </c>
      <c r="Q48" t="str">
        <f t="shared" si="28"/>
        <v>70300012,10.726,-7.227,-1230.51</v>
      </c>
      <c r="R48">
        <v>39</v>
      </c>
      <c r="S48" t="str">
        <f t="shared" si="29"/>
        <v>80300012,10.726,-7.227,-1230.51</v>
      </c>
    </row>
    <row r="49" spans="1:19" x14ac:dyDescent="0.3">
      <c r="A49" t="s">
        <v>246</v>
      </c>
      <c r="H49">
        <f t="shared" si="25"/>
        <v>40</v>
      </c>
      <c r="L49">
        <v>40</v>
      </c>
      <c r="P49">
        <v>40</v>
      </c>
      <c r="Q49" t="str">
        <f>A49</f>
        <v>**</v>
      </c>
      <c r="R49">
        <v>40</v>
      </c>
      <c r="S49" t="str">
        <f>Q49</f>
        <v>**</v>
      </c>
    </row>
    <row r="50" spans="1:19" x14ac:dyDescent="0.3">
      <c r="A50" t="s">
        <v>260</v>
      </c>
      <c r="H50">
        <f t="shared" si="25"/>
        <v>41</v>
      </c>
      <c r="I50" t="s">
        <v>12</v>
      </c>
      <c r="K50">
        <v>6.0960441956986431</v>
      </c>
      <c r="L50">
        <v>41</v>
      </c>
      <c r="P50">
        <v>41</v>
      </c>
      <c r="Q50" t="str">
        <f t="shared" ref="Q50:Q51" si="30">A50</f>
        <v>** Corridor #4</v>
      </c>
      <c r="R50">
        <v>41</v>
      </c>
      <c r="S50" t="str">
        <f t="shared" ref="S50:S51" si="31">Q50</f>
        <v>** Corridor #4</v>
      </c>
    </row>
    <row r="51" spans="1:19" x14ac:dyDescent="0.3">
      <c r="A51" t="s">
        <v>246</v>
      </c>
      <c r="H51">
        <f t="shared" si="25"/>
        <v>42</v>
      </c>
      <c r="I51" t="s">
        <v>0</v>
      </c>
      <c r="J51" t="s">
        <v>1</v>
      </c>
      <c r="K51" t="s">
        <v>2</v>
      </c>
      <c r="L51">
        <v>42</v>
      </c>
      <c r="P51">
        <v>42</v>
      </c>
      <c r="Q51" t="str">
        <f t="shared" si="30"/>
        <v>**</v>
      </c>
      <c r="R51">
        <v>42</v>
      </c>
      <c r="S51" t="str">
        <f t="shared" si="31"/>
        <v>**</v>
      </c>
    </row>
    <row r="52" spans="1:19" x14ac:dyDescent="0.3">
      <c r="A52">
        <v>70400001</v>
      </c>
      <c r="B52">
        <v>-28.751000000000001</v>
      </c>
      <c r="C52">
        <v>-11.813000000000001</v>
      </c>
      <c r="D52">
        <v>-24.738</v>
      </c>
      <c r="E52">
        <f t="shared" ref="E52:E59" si="32">B52+$H$1</f>
        <v>455831.44878400007</v>
      </c>
      <c r="F52">
        <f t="shared" ref="F52:F59" si="33">C52+$H$2</f>
        <v>2981788.6048960001</v>
      </c>
      <c r="G52">
        <f t="shared" ref="G52:G59" si="34">D52+$H$3</f>
        <v>-1230.5725200000002</v>
      </c>
      <c r="H52">
        <f t="shared" ref="H52:H115" si="35">H51+1</f>
        <v>43</v>
      </c>
      <c r="I52">
        <v>-28.755426818097476</v>
      </c>
      <c r="J52">
        <v>-11.784585264511406</v>
      </c>
      <c r="K52">
        <v>-1225.2228480000001</v>
      </c>
      <c r="L52">
        <v>43</v>
      </c>
      <c r="M52">
        <f t="shared" ref="M52:N59" si="36">I52-B52</f>
        <v>-4.426818097474694E-3</v>
      </c>
      <c r="N52">
        <f t="shared" si="36"/>
        <v>2.8414735488594189E-2</v>
      </c>
      <c r="O52">
        <f t="shared" ref="O52:O59" si="37">K52-G52</f>
        <v>5.349672000000055</v>
      </c>
      <c r="P52">
        <v>43</v>
      </c>
      <c r="Q52" t="str">
        <f t="shared" ref="Q52:Q59" si="38">A52&amp;","&amp;ROUND(B52,3)&amp;","&amp;ROUND(C52,3)&amp;","&amp;ROUND(G52,2)</f>
        <v>70400001,-28.751,-11.813,-1230.57</v>
      </c>
      <c r="R52">
        <v>43</v>
      </c>
      <c r="S52" t="str">
        <f t="shared" ref="S52:S59" si="39">A52+10000000&amp;","&amp;ROUND(B52,3)&amp;","&amp;ROUND(C52,3)&amp;","&amp;ROUND(G52,2)</f>
        <v>80400001,-28.751,-11.813,-1230.57</v>
      </c>
    </row>
    <row r="53" spans="1:19" x14ac:dyDescent="0.3">
      <c r="A53">
        <v>70400002</v>
      </c>
      <c r="B53">
        <v>1.1659999999999999</v>
      </c>
      <c r="C53">
        <v>-5.9829999999999997</v>
      </c>
      <c r="D53">
        <v>-24.738</v>
      </c>
      <c r="E53">
        <f t="shared" si="32"/>
        <v>455861.36578400008</v>
      </c>
      <c r="F53">
        <f t="shared" si="33"/>
        <v>2981794.4348960002</v>
      </c>
      <c r="G53">
        <f t="shared" si="34"/>
        <v>-1230.5725200000002</v>
      </c>
      <c r="H53">
        <f t="shared" si="35"/>
        <v>44</v>
      </c>
      <c r="I53">
        <v>1.1673840000294149</v>
      </c>
      <c r="J53">
        <v>-5.9832239998504519</v>
      </c>
      <c r="K53">
        <v>-1225.2228480000001</v>
      </c>
      <c r="L53">
        <v>44</v>
      </c>
      <c r="M53">
        <f t="shared" si="36"/>
        <v>1.3840000294149668E-3</v>
      </c>
      <c r="N53">
        <f t="shared" si="36"/>
        <v>-2.2399985045229442E-4</v>
      </c>
      <c r="O53">
        <f t="shared" si="37"/>
        <v>5.349672000000055</v>
      </c>
      <c r="P53">
        <v>44</v>
      </c>
      <c r="Q53" t="str">
        <f t="shared" si="38"/>
        <v>70400002,1.166,-5.983,-1230.57</v>
      </c>
      <c r="R53">
        <v>44</v>
      </c>
      <c r="S53" t="str">
        <f t="shared" si="39"/>
        <v>80400002,1.166,-5.983,-1230.57</v>
      </c>
    </row>
    <row r="54" spans="1:19" x14ac:dyDescent="0.3">
      <c r="A54">
        <v>70400003</v>
      </c>
      <c r="B54">
        <v>2.0619999999999998</v>
      </c>
      <c r="C54">
        <v>-5.8090000000000002</v>
      </c>
      <c r="D54">
        <v>-24.738</v>
      </c>
      <c r="E54">
        <f t="shared" si="32"/>
        <v>455862.26178400003</v>
      </c>
      <c r="F54">
        <f t="shared" si="33"/>
        <v>2981794.6088960003</v>
      </c>
      <c r="G54">
        <f t="shared" si="34"/>
        <v>-1230.5725200000002</v>
      </c>
      <c r="H54">
        <f t="shared" si="35"/>
        <v>45</v>
      </c>
      <c r="I54">
        <v>2.0634960000170395</v>
      </c>
      <c r="J54">
        <v>-5.8094880003482103</v>
      </c>
      <c r="K54">
        <v>-1225.2228480000001</v>
      </c>
      <c r="L54">
        <v>45</v>
      </c>
      <c r="M54">
        <f t="shared" si="36"/>
        <v>1.4960000170396448E-3</v>
      </c>
      <c r="N54">
        <f t="shared" si="36"/>
        <v>-4.8800034821017135E-4</v>
      </c>
      <c r="O54">
        <f t="shared" si="37"/>
        <v>5.349672000000055</v>
      </c>
      <c r="P54">
        <v>45</v>
      </c>
      <c r="Q54" t="str">
        <f t="shared" si="38"/>
        <v>70400003,2.062,-5.809,-1230.57</v>
      </c>
      <c r="R54">
        <v>45</v>
      </c>
      <c r="S54" t="str">
        <f t="shared" si="39"/>
        <v>80400003,2.062,-5.809,-1230.57</v>
      </c>
    </row>
    <row r="55" spans="1:19" x14ac:dyDescent="0.3">
      <c r="A55">
        <v>70400004</v>
      </c>
      <c r="B55">
        <v>2.9609999999999999</v>
      </c>
      <c r="C55">
        <v>-5.6340000000000003</v>
      </c>
      <c r="D55">
        <v>-24.734999999999999</v>
      </c>
      <c r="E55">
        <f t="shared" si="32"/>
        <v>455863.16078400007</v>
      </c>
      <c r="F55">
        <f t="shared" si="33"/>
        <v>2981794.7838960001</v>
      </c>
      <c r="G55">
        <f t="shared" si="34"/>
        <v>-1230.56952</v>
      </c>
      <c r="H55">
        <f t="shared" si="35"/>
        <v>46</v>
      </c>
      <c r="I55">
        <v>2.9596080000046641</v>
      </c>
      <c r="J55">
        <v>-5.632704000454396</v>
      </c>
      <c r="K55">
        <v>-1225.2198000000001</v>
      </c>
      <c r="L55">
        <v>46</v>
      </c>
      <c r="M55">
        <f t="shared" si="36"/>
        <v>-1.3919999953357909E-3</v>
      </c>
      <c r="N55">
        <f t="shared" si="36"/>
        <v>1.2959995456043316E-3</v>
      </c>
      <c r="O55">
        <f t="shared" si="37"/>
        <v>5.3497199999999339</v>
      </c>
      <c r="P55">
        <v>46</v>
      </c>
      <c r="Q55" t="str">
        <f t="shared" si="38"/>
        <v>70400004,2.961,-5.634,-1230.57</v>
      </c>
      <c r="R55">
        <v>46</v>
      </c>
      <c r="S55" t="str">
        <f t="shared" si="39"/>
        <v>80400004,2.961,-5.634,-1230.57</v>
      </c>
    </row>
    <row r="56" spans="1:19" x14ac:dyDescent="0.3">
      <c r="A56">
        <v>70400005</v>
      </c>
      <c r="B56">
        <v>3.8570000000000002</v>
      </c>
      <c r="C56">
        <v>-5.4589999999999996</v>
      </c>
      <c r="D56">
        <v>-24.728000000000002</v>
      </c>
      <c r="E56">
        <f t="shared" si="32"/>
        <v>455864.05678400007</v>
      </c>
      <c r="F56">
        <f t="shared" si="33"/>
        <v>2981794.9588960004</v>
      </c>
      <c r="G56">
        <f t="shared" si="34"/>
        <v>-1230.5625200000002</v>
      </c>
      <c r="H56">
        <f t="shared" si="35"/>
        <v>47</v>
      </c>
      <c r="I56">
        <v>3.8587679999764077</v>
      </c>
      <c r="J56">
        <v>-5.4589680000208318</v>
      </c>
      <c r="K56">
        <v>-1225.213704</v>
      </c>
      <c r="L56">
        <v>47</v>
      </c>
      <c r="M56">
        <f t="shared" si="36"/>
        <v>1.7679999764075305E-3</v>
      </c>
      <c r="N56">
        <f t="shared" si="36"/>
        <v>3.1999979167807169E-5</v>
      </c>
      <c r="O56">
        <f t="shared" si="37"/>
        <v>5.3488160000001699</v>
      </c>
      <c r="P56">
        <v>47</v>
      </c>
      <c r="Q56" t="str">
        <f t="shared" si="38"/>
        <v>70400005,3.857,-5.459,-1230.56</v>
      </c>
      <c r="R56">
        <v>47</v>
      </c>
      <c r="S56" t="str">
        <f t="shared" si="39"/>
        <v>80400005,3.857,-5.459,-1230.56</v>
      </c>
    </row>
    <row r="57" spans="1:19" x14ac:dyDescent="0.3">
      <c r="A57">
        <v>70400006</v>
      </c>
      <c r="B57">
        <v>4.7569999999999997</v>
      </c>
      <c r="C57">
        <v>-5.2839999999999998</v>
      </c>
      <c r="D57">
        <v>-24.722000000000001</v>
      </c>
      <c r="E57">
        <f t="shared" si="32"/>
        <v>455864.95678400004</v>
      </c>
      <c r="F57">
        <f t="shared" si="33"/>
        <v>2981795.1338960002</v>
      </c>
      <c r="G57">
        <f t="shared" si="34"/>
        <v>-1230.5565200000001</v>
      </c>
      <c r="H57">
        <f t="shared" si="35"/>
        <v>48</v>
      </c>
      <c r="I57">
        <v>4.75488000002224</v>
      </c>
      <c r="J57">
        <v>-5.2852320000529289</v>
      </c>
      <c r="K57">
        <v>-1225.2076080000002</v>
      </c>
      <c r="L57">
        <v>48</v>
      </c>
      <c r="M57">
        <f t="shared" si="36"/>
        <v>-2.1199999777596901E-3</v>
      </c>
      <c r="N57">
        <f t="shared" si="36"/>
        <v>-1.2320000529291164E-3</v>
      </c>
      <c r="O57">
        <f t="shared" si="37"/>
        <v>5.3489119999999275</v>
      </c>
      <c r="P57">
        <v>48</v>
      </c>
      <c r="Q57" t="str">
        <f t="shared" si="38"/>
        <v>70400006,4.757,-5.284,-1230.56</v>
      </c>
      <c r="R57">
        <v>48</v>
      </c>
      <c r="S57" t="str">
        <f t="shared" si="39"/>
        <v>80400006,4.757,-5.284,-1230.56</v>
      </c>
    </row>
    <row r="58" spans="1:19" x14ac:dyDescent="0.3">
      <c r="A58">
        <v>70400007</v>
      </c>
      <c r="B58">
        <v>5.6529999999999996</v>
      </c>
      <c r="C58">
        <v>-5.109</v>
      </c>
      <c r="D58">
        <v>-24.713000000000001</v>
      </c>
      <c r="E58">
        <f t="shared" si="32"/>
        <v>455865.85278400005</v>
      </c>
      <c r="F58">
        <f t="shared" si="33"/>
        <v>2981795.308896</v>
      </c>
      <c r="G58">
        <f t="shared" si="34"/>
        <v>-1230.5475200000001</v>
      </c>
      <c r="H58">
        <f t="shared" si="35"/>
        <v>49</v>
      </c>
      <c r="I58">
        <v>5.6540399999939837</v>
      </c>
      <c r="J58">
        <v>-5.1084480001591146</v>
      </c>
      <c r="K58">
        <v>-1225.1984640000001</v>
      </c>
      <c r="L58">
        <v>49</v>
      </c>
      <c r="M58">
        <f t="shared" si="36"/>
        <v>1.0399999939840754E-3</v>
      </c>
      <c r="N58">
        <f t="shared" si="36"/>
        <v>5.5199984088538656E-4</v>
      </c>
      <c r="O58">
        <f t="shared" si="37"/>
        <v>5.3490560000000187</v>
      </c>
      <c r="P58">
        <v>49</v>
      </c>
      <c r="Q58" t="str">
        <f t="shared" si="38"/>
        <v>70400007,5.653,-5.109,-1230.55</v>
      </c>
      <c r="R58">
        <v>49</v>
      </c>
      <c r="S58" t="str">
        <f t="shared" si="39"/>
        <v>80400007,5.653,-5.109,-1230.55</v>
      </c>
    </row>
    <row r="59" spans="1:19" x14ac:dyDescent="0.3">
      <c r="A59">
        <v>70400008</v>
      </c>
      <c r="B59">
        <v>6.5519999999999996</v>
      </c>
      <c r="C59">
        <v>-4.9340000000000002</v>
      </c>
      <c r="D59">
        <v>-24.704000000000001</v>
      </c>
      <c r="E59">
        <f t="shared" si="32"/>
        <v>455866.75178400008</v>
      </c>
      <c r="F59">
        <f t="shared" si="33"/>
        <v>2981795.4838960003</v>
      </c>
      <c r="G59">
        <f t="shared" si="34"/>
        <v>-1230.5385200000001</v>
      </c>
      <c r="H59">
        <f t="shared" si="35"/>
        <v>50</v>
      </c>
      <c r="I59">
        <v>6.5501519999816082</v>
      </c>
      <c r="J59">
        <v>-4.9347120001912117</v>
      </c>
      <c r="K59">
        <v>-1225.1893200000002</v>
      </c>
      <c r="L59">
        <v>50</v>
      </c>
      <c r="M59">
        <f t="shared" si="36"/>
        <v>-1.8480000183913603E-3</v>
      </c>
      <c r="N59">
        <f t="shared" si="36"/>
        <v>-7.1200019121153701E-4</v>
      </c>
      <c r="O59">
        <f t="shared" si="37"/>
        <v>5.3491999999998825</v>
      </c>
      <c r="P59">
        <v>50</v>
      </c>
      <c r="Q59" t="str">
        <f t="shared" si="38"/>
        <v>70400008,6.552,-4.934,-1230.54</v>
      </c>
      <c r="R59">
        <v>50</v>
      </c>
      <c r="S59" t="str">
        <f t="shared" si="39"/>
        <v>80400008,6.552,-4.934,-1230.54</v>
      </c>
    </row>
    <row r="60" spans="1:19" x14ac:dyDescent="0.3">
      <c r="A60" t="s">
        <v>246</v>
      </c>
      <c r="H60">
        <f t="shared" si="35"/>
        <v>51</v>
      </c>
      <c r="L60">
        <v>51</v>
      </c>
      <c r="P60">
        <v>51</v>
      </c>
      <c r="Q60" t="str">
        <f>A60</f>
        <v>**</v>
      </c>
      <c r="R60">
        <v>51</v>
      </c>
      <c r="S60" t="str">
        <f>Q60</f>
        <v>**</v>
      </c>
    </row>
    <row r="61" spans="1:19" x14ac:dyDescent="0.3">
      <c r="A61" t="s">
        <v>261</v>
      </c>
      <c r="H61">
        <f t="shared" si="35"/>
        <v>52</v>
      </c>
      <c r="I61" t="s">
        <v>11</v>
      </c>
      <c r="K61">
        <v>3.0492265735479029</v>
      </c>
      <c r="L61">
        <v>52</v>
      </c>
      <c r="P61">
        <v>52</v>
      </c>
      <c r="Q61" t="str">
        <f t="shared" ref="Q61:Q62" si="40">A61</f>
        <v>** Corridor #5</v>
      </c>
      <c r="R61">
        <v>52</v>
      </c>
      <c r="S61" t="str">
        <f t="shared" ref="S61:S62" si="41">Q61</f>
        <v>** Corridor #5</v>
      </c>
    </row>
    <row r="62" spans="1:19" x14ac:dyDescent="0.3">
      <c r="A62" t="s">
        <v>246</v>
      </c>
      <c r="H62">
        <f t="shared" si="35"/>
        <v>53</v>
      </c>
      <c r="I62" t="s">
        <v>0</v>
      </c>
      <c r="J62" t="s">
        <v>1</v>
      </c>
      <c r="K62" t="s">
        <v>2</v>
      </c>
      <c r="L62">
        <v>53</v>
      </c>
      <c r="P62">
        <v>53</v>
      </c>
      <c r="Q62" t="str">
        <f t="shared" si="40"/>
        <v>**</v>
      </c>
      <c r="R62">
        <v>53</v>
      </c>
      <c r="S62" t="str">
        <f t="shared" si="41"/>
        <v>**</v>
      </c>
    </row>
    <row r="63" spans="1:19" x14ac:dyDescent="0.3">
      <c r="A63">
        <v>70500001</v>
      </c>
      <c r="B63">
        <v>-29.334</v>
      </c>
      <c r="C63">
        <v>-8.8230000000000004</v>
      </c>
      <c r="D63">
        <v>-24.695</v>
      </c>
      <c r="E63">
        <f t="shared" ref="E63:E70" si="42">B63+$H$1</f>
        <v>455830.86578400008</v>
      </c>
      <c r="F63">
        <f t="shared" ref="F63:F70" si="43">C63+$H$2</f>
        <v>2981791.5948960003</v>
      </c>
      <c r="G63">
        <f t="shared" ref="G63:G70" si="44">D63+$H$3</f>
        <v>-1230.52952</v>
      </c>
      <c r="H63">
        <f t="shared" si="35"/>
        <v>54</v>
      </c>
      <c r="I63">
        <v>-29.340642818133347</v>
      </c>
      <c r="J63">
        <v>-8.8762649069540203</v>
      </c>
      <c r="K63">
        <v>-1225.1801760000001</v>
      </c>
      <c r="L63">
        <v>54</v>
      </c>
      <c r="M63">
        <f t="shared" ref="M63:N70" si="45">I63-B63</f>
        <v>-6.6428181333471059E-3</v>
      </c>
      <c r="N63">
        <f t="shared" si="45"/>
        <v>-5.3264906954019864E-2</v>
      </c>
      <c r="O63">
        <f t="shared" ref="O63:O70" si="46">K63-G63</f>
        <v>5.3493439999999737</v>
      </c>
      <c r="P63">
        <v>54</v>
      </c>
      <c r="Q63" t="str">
        <f t="shared" ref="Q63:Q70" si="47">A63&amp;","&amp;ROUND(B63,3)&amp;","&amp;ROUND(C63,3)&amp;","&amp;ROUND(G63,2)</f>
        <v>70500001,-29.334,-8.823,-1230.53</v>
      </c>
      <c r="R63">
        <v>54</v>
      </c>
      <c r="S63" t="str">
        <f t="shared" ref="S63:S70" si="48">A63+10000000&amp;","&amp;ROUND(B63,3)&amp;","&amp;ROUND(C63,3)&amp;","&amp;ROUND(G63,2)</f>
        <v>80500001,-29.334,-8.823,-1230.53</v>
      </c>
    </row>
    <row r="64" spans="1:19" x14ac:dyDescent="0.3">
      <c r="A64">
        <v>70500002</v>
      </c>
      <c r="B64">
        <v>0.58299999999999996</v>
      </c>
      <c r="C64">
        <v>-2.9929999999999999</v>
      </c>
      <c r="D64">
        <v>-24.695</v>
      </c>
      <c r="E64">
        <f t="shared" si="42"/>
        <v>455860.78278400004</v>
      </c>
      <c r="F64">
        <f t="shared" si="43"/>
        <v>2981797.4248960004</v>
      </c>
      <c r="G64">
        <f t="shared" si="44"/>
        <v>-1230.52952</v>
      </c>
      <c r="H64">
        <f t="shared" si="35"/>
        <v>55</v>
      </c>
      <c r="I64">
        <v>0.58216799999354407</v>
      </c>
      <c r="J64">
        <v>-2.993136000353843</v>
      </c>
      <c r="K64">
        <v>-1225.1801760000001</v>
      </c>
      <c r="L64">
        <v>55</v>
      </c>
      <c r="M64">
        <f t="shared" si="45"/>
        <v>-8.3200000645589078E-4</v>
      </c>
      <c r="N64">
        <f t="shared" si="45"/>
        <v>-1.3600035384309095E-4</v>
      </c>
      <c r="O64">
        <f t="shared" si="46"/>
        <v>5.3493439999999737</v>
      </c>
      <c r="P64">
        <v>55</v>
      </c>
      <c r="Q64" t="str">
        <f t="shared" si="47"/>
        <v>70500002,0.583,-2.993,-1230.53</v>
      </c>
      <c r="R64">
        <v>55</v>
      </c>
      <c r="S64" t="str">
        <f t="shared" si="48"/>
        <v>80500002,0.583,-2.993,-1230.53</v>
      </c>
    </row>
    <row r="65" spans="1:19" x14ac:dyDescent="0.3">
      <c r="A65">
        <v>70500003</v>
      </c>
      <c r="B65">
        <v>1.4790000000000001</v>
      </c>
      <c r="C65">
        <v>-2.8180000000000001</v>
      </c>
      <c r="D65">
        <v>-24.695</v>
      </c>
      <c r="E65">
        <f t="shared" si="42"/>
        <v>455861.67878400005</v>
      </c>
      <c r="F65">
        <f t="shared" si="43"/>
        <v>2981797.5998960002</v>
      </c>
      <c r="G65">
        <f t="shared" si="44"/>
        <v>-1230.52952</v>
      </c>
      <c r="H65">
        <f t="shared" si="35"/>
        <v>56</v>
      </c>
      <c r="I65">
        <v>1.4813280000234954</v>
      </c>
      <c r="J65">
        <v>-2.8163519999943674</v>
      </c>
      <c r="K65">
        <v>-1225.1801760000001</v>
      </c>
      <c r="L65">
        <v>56</v>
      </c>
      <c r="M65">
        <f t="shared" si="45"/>
        <v>2.3280000234953135E-3</v>
      </c>
      <c r="N65">
        <f t="shared" si="45"/>
        <v>1.6480000056326993E-3</v>
      </c>
      <c r="O65">
        <f t="shared" si="46"/>
        <v>5.3493439999999737</v>
      </c>
      <c r="P65">
        <v>56</v>
      </c>
      <c r="Q65" t="str">
        <f t="shared" si="47"/>
        <v>70500003,1.479,-2.818,-1230.53</v>
      </c>
      <c r="R65">
        <v>56</v>
      </c>
      <c r="S65" t="str">
        <f t="shared" si="48"/>
        <v>80500003,1.479,-2.818,-1230.53</v>
      </c>
    </row>
    <row r="66" spans="1:19" x14ac:dyDescent="0.3">
      <c r="A66">
        <v>70500004</v>
      </c>
      <c r="B66">
        <v>2.379</v>
      </c>
      <c r="C66">
        <v>-2.6429999999999998</v>
      </c>
      <c r="D66">
        <v>-24.698</v>
      </c>
      <c r="E66">
        <f t="shared" si="42"/>
        <v>455862.57878400007</v>
      </c>
      <c r="F66">
        <f t="shared" si="43"/>
        <v>2981797.774896</v>
      </c>
      <c r="G66">
        <f t="shared" si="44"/>
        <v>-1230.5325200000002</v>
      </c>
      <c r="H66">
        <f t="shared" si="35"/>
        <v>57</v>
      </c>
      <c r="I66">
        <v>2.37744000001112</v>
      </c>
      <c r="J66">
        <v>-2.6426160000264645</v>
      </c>
      <c r="K66">
        <v>-1225.1832240000001</v>
      </c>
      <c r="L66">
        <v>57</v>
      </c>
      <c r="M66">
        <f t="shared" si="45"/>
        <v>-1.559999988880012E-3</v>
      </c>
      <c r="N66">
        <f t="shared" si="45"/>
        <v>3.8399997353533166E-4</v>
      </c>
      <c r="O66">
        <f t="shared" si="46"/>
        <v>5.3492960000000949</v>
      </c>
      <c r="P66">
        <v>57</v>
      </c>
      <c r="Q66" t="str">
        <f t="shared" si="47"/>
        <v>70500004,2.379,-2.643,-1230.53</v>
      </c>
      <c r="R66">
        <v>57</v>
      </c>
      <c r="S66" t="str">
        <f t="shared" si="48"/>
        <v>80500004,2.379,-2.643,-1230.53</v>
      </c>
    </row>
    <row r="67" spans="1:19" x14ac:dyDescent="0.3">
      <c r="A67">
        <v>70500005</v>
      </c>
      <c r="B67">
        <v>3.2749999999999999</v>
      </c>
      <c r="C67">
        <v>-2.468</v>
      </c>
      <c r="D67">
        <v>-24.689</v>
      </c>
      <c r="E67">
        <f t="shared" si="42"/>
        <v>455863.47478400008</v>
      </c>
      <c r="F67">
        <f t="shared" si="43"/>
        <v>2981797.9498960003</v>
      </c>
      <c r="G67">
        <f t="shared" si="44"/>
        <v>-1230.5235200000002</v>
      </c>
      <c r="H67">
        <f t="shared" si="35"/>
        <v>58</v>
      </c>
      <c r="I67">
        <v>3.2765999999828637</v>
      </c>
      <c r="J67">
        <v>-2.4658320001326501</v>
      </c>
      <c r="K67">
        <v>-1225.17408</v>
      </c>
      <c r="L67">
        <v>58</v>
      </c>
      <c r="M67">
        <f t="shared" si="45"/>
        <v>1.5999999828637534E-3</v>
      </c>
      <c r="N67">
        <f t="shared" si="45"/>
        <v>2.1679998673498346E-3</v>
      </c>
      <c r="O67">
        <f t="shared" si="46"/>
        <v>5.349440000000186</v>
      </c>
      <c r="P67">
        <v>58</v>
      </c>
      <c r="Q67" t="str">
        <f t="shared" si="47"/>
        <v>70500005,3.275,-2.468,-1230.52</v>
      </c>
      <c r="R67">
        <v>58</v>
      </c>
      <c r="S67" t="str">
        <f t="shared" si="48"/>
        <v>80500005,3.275,-2.468,-1230.52</v>
      </c>
    </row>
    <row r="68" spans="1:19" x14ac:dyDescent="0.3">
      <c r="A68">
        <v>70500006</v>
      </c>
      <c r="B68">
        <v>4.1740000000000004</v>
      </c>
      <c r="C68">
        <v>-2.2930000000000001</v>
      </c>
      <c r="D68">
        <v>-24.677</v>
      </c>
      <c r="E68">
        <f t="shared" si="42"/>
        <v>455864.37378400005</v>
      </c>
      <c r="F68">
        <f t="shared" si="43"/>
        <v>2981798.1248960001</v>
      </c>
      <c r="G68">
        <f t="shared" si="44"/>
        <v>-1230.51152</v>
      </c>
      <c r="H68">
        <f t="shared" si="35"/>
        <v>59</v>
      </c>
      <c r="I68">
        <v>4.1727119999704883</v>
      </c>
      <c r="J68">
        <v>-2.2920960001647472</v>
      </c>
      <c r="K68">
        <v>-1225.1618880000001</v>
      </c>
      <c r="L68">
        <v>59</v>
      </c>
      <c r="M68">
        <f t="shared" si="45"/>
        <v>-1.2880000295121263E-3</v>
      </c>
      <c r="N68">
        <f t="shared" si="45"/>
        <v>9.0399983525291105E-4</v>
      </c>
      <c r="O68">
        <f t="shared" si="46"/>
        <v>5.3496319999999287</v>
      </c>
      <c r="P68">
        <v>59</v>
      </c>
      <c r="Q68" t="str">
        <f t="shared" si="47"/>
        <v>70500006,4.174,-2.293,-1230.51</v>
      </c>
      <c r="R68">
        <v>59</v>
      </c>
      <c r="S68" t="str">
        <f t="shared" si="48"/>
        <v>80500006,4.174,-2.293,-1230.51</v>
      </c>
    </row>
    <row r="69" spans="1:19" x14ac:dyDescent="0.3">
      <c r="A69">
        <v>70500007</v>
      </c>
      <c r="B69">
        <v>5.07</v>
      </c>
      <c r="C69">
        <v>-2.1190000000000002</v>
      </c>
      <c r="D69">
        <v>-24.664000000000001</v>
      </c>
      <c r="E69">
        <f t="shared" si="42"/>
        <v>455865.26978400006</v>
      </c>
      <c r="F69">
        <f t="shared" si="43"/>
        <v>2981798.2988960003</v>
      </c>
      <c r="G69">
        <f t="shared" si="44"/>
        <v>-1230.4985200000001</v>
      </c>
      <c r="H69">
        <f t="shared" si="35"/>
        <v>60</v>
      </c>
      <c r="I69">
        <v>5.0718720000586472</v>
      </c>
      <c r="J69">
        <v>-2.1183599997311831</v>
      </c>
      <c r="K69">
        <v>-1225.1496959999999</v>
      </c>
      <c r="L69">
        <v>60</v>
      </c>
      <c r="M69">
        <f t="shared" si="45"/>
        <v>1.872000058646961E-3</v>
      </c>
      <c r="N69">
        <f t="shared" si="45"/>
        <v>6.4000026881716465E-4</v>
      </c>
      <c r="O69">
        <f t="shared" si="46"/>
        <v>5.3488240000001497</v>
      </c>
      <c r="P69">
        <v>60</v>
      </c>
      <c r="Q69" t="str">
        <f t="shared" si="47"/>
        <v>70500007,5.07,-2.119,-1230.5</v>
      </c>
      <c r="R69">
        <v>60</v>
      </c>
      <c r="S69" t="str">
        <f t="shared" si="48"/>
        <v>80500007,5.07,-2.119,-1230.5</v>
      </c>
    </row>
    <row r="70" spans="1:19" x14ac:dyDescent="0.3">
      <c r="A70">
        <v>70500008</v>
      </c>
      <c r="B70">
        <v>5.9690000000000003</v>
      </c>
      <c r="C70">
        <v>-1.9430000000000001</v>
      </c>
      <c r="D70">
        <v>-24.652000000000001</v>
      </c>
      <c r="E70">
        <f t="shared" si="42"/>
        <v>455866.16878400004</v>
      </c>
      <c r="F70">
        <f t="shared" si="43"/>
        <v>2981798.4748960002</v>
      </c>
      <c r="G70">
        <f t="shared" si="44"/>
        <v>-1230.4865200000002</v>
      </c>
      <c r="H70">
        <f t="shared" si="35"/>
        <v>61</v>
      </c>
      <c r="I70">
        <v>5.9679840000462718</v>
      </c>
      <c r="J70">
        <v>-1.9415759998373687</v>
      </c>
      <c r="K70">
        <v>-1225.137504</v>
      </c>
      <c r="L70">
        <v>61</v>
      </c>
      <c r="M70">
        <f t="shared" si="45"/>
        <v>-1.0159999537284747E-3</v>
      </c>
      <c r="N70">
        <f t="shared" si="45"/>
        <v>1.4240001626313337E-3</v>
      </c>
      <c r="O70">
        <f t="shared" si="46"/>
        <v>5.3490160000001197</v>
      </c>
      <c r="P70">
        <v>61</v>
      </c>
      <c r="Q70" t="str">
        <f t="shared" si="47"/>
        <v>70500008,5.969,-1.943,-1230.49</v>
      </c>
      <c r="R70">
        <v>61</v>
      </c>
      <c r="S70" t="str">
        <f t="shared" si="48"/>
        <v>80500008,5.969,-1.943,-1230.49</v>
      </c>
    </row>
    <row r="71" spans="1:19" x14ac:dyDescent="0.3">
      <c r="A71" t="s">
        <v>246</v>
      </c>
      <c r="H71">
        <f t="shared" si="35"/>
        <v>62</v>
      </c>
      <c r="L71">
        <v>62</v>
      </c>
      <c r="P71">
        <v>62</v>
      </c>
      <c r="Q71" t="str">
        <f>A71</f>
        <v>**</v>
      </c>
      <c r="R71">
        <v>62</v>
      </c>
      <c r="S71" t="str">
        <f>Q71</f>
        <v>**</v>
      </c>
    </row>
    <row r="72" spans="1:19" x14ac:dyDescent="0.3">
      <c r="A72" t="s">
        <v>262</v>
      </c>
      <c r="H72">
        <f t="shared" si="35"/>
        <v>63</v>
      </c>
      <c r="I72" t="s">
        <v>10</v>
      </c>
      <c r="K72">
        <v>0</v>
      </c>
      <c r="L72">
        <v>63</v>
      </c>
      <c r="P72">
        <v>63</v>
      </c>
      <c r="Q72" t="str">
        <f t="shared" ref="Q72:Q73" si="49">A72</f>
        <v>** Corridor #6</v>
      </c>
      <c r="R72">
        <v>63</v>
      </c>
      <c r="S72" t="str">
        <f t="shared" ref="S72:S73" si="50">Q72</f>
        <v>** Corridor #6</v>
      </c>
    </row>
    <row r="73" spans="1:19" x14ac:dyDescent="0.3">
      <c r="A73" t="s">
        <v>246</v>
      </c>
      <c r="H73">
        <f t="shared" si="35"/>
        <v>64</v>
      </c>
      <c r="I73" t="s">
        <v>0</v>
      </c>
      <c r="J73" t="s">
        <v>1</v>
      </c>
      <c r="K73" t="s">
        <v>2</v>
      </c>
      <c r="L73">
        <v>64</v>
      </c>
      <c r="P73">
        <v>64</v>
      </c>
      <c r="Q73" t="str">
        <f t="shared" si="49"/>
        <v>**</v>
      </c>
      <c r="R73">
        <v>64</v>
      </c>
      <c r="S73" t="str">
        <f t="shared" si="50"/>
        <v>**</v>
      </c>
    </row>
    <row r="74" spans="1:19" x14ac:dyDescent="0.3">
      <c r="A74">
        <v>70600001</v>
      </c>
      <c r="B74">
        <v>-29.917000000000002</v>
      </c>
      <c r="C74">
        <v>-5.83</v>
      </c>
      <c r="D74">
        <v>-24.634</v>
      </c>
      <c r="E74">
        <f t="shared" ref="E74:E79" si="51">B74+$H$1</f>
        <v>455830.28278400004</v>
      </c>
      <c r="F74">
        <f t="shared" ref="F74:F79" si="52">C74+$H$2</f>
        <v>2981794.5878960001</v>
      </c>
      <c r="G74">
        <f t="shared" ref="G74:G79" si="53">D74+$H$3</f>
        <v>-1230.4685200000001</v>
      </c>
      <c r="H74">
        <f t="shared" si="35"/>
        <v>65</v>
      </c>
      <c r="I74">
        <v>-29.922810818126891</v>
      </c>
      <c r="J74">
        <v>-5.8013612842187285</v>
      </c>
      <c r="K74">
        <v>-1225.1192160000001</v>
      </c>
      <c r="L74">
        <v>65</v>
      </c>
      <c r="M74">
        <f t="shared" ref="M74:N79" si="54">I74-B74</f>
        <v>-5.8108181268892167E-3</v>
      </c>
      <c r="N74">
        <f t="shared" si="54"/>
        <v>2.8638715781271529E-2</v>
      </c>
      <c r="O74">
        <f t="shared" ref="O74:O79" si="55">K74-G74</f>
        <v>5.3493040000000747</v>
      </c>
      <c r="P74">
        <v>65</v>
      </c>
      <c r="Q74" t="str">
        <f t="shared" ref="Q74:Q79" si="56">A74&amp;","&amp;ROUND(B74,3)&amp;","&amp;ROUND(C74,3)&amp;","&amp;ROUND(G74,2)</f>
        <v>70600001,-29.917,-5.83,-1230.47</v>
      </c>
      <c r="R74">
        <v>65</v>
      </c>
      <c r="S74" t="str">
        <f t="shared" ref="S74:S79" si="57">A74+10000000&amp;","&amp;ROUND(B74,3)&amp;","&amp;ROUND(C74,3)&amp;","&amp;ROUND(G74,2)</f>
        <v>80600001,-29.917,-5.83,-1230.47</v>
      </c>
    </row>
    <row r="75" spans="1:19" x14ac:dyDescent="0.3">
      <c r="A75">
        <v>70600002</v>
      </c>
      <c r="B75">
        <v>0</v>
      </c>
      <c r="C75">
        <v>0</v>
      </c>
      <c r="D75">
        <v>-24.634</v>
      </c>
      <c r="E75">
        <f t="shared" si="51"/>
        <v>455860.19978400005</v>
      </c>
      <c r="F75">
        <f t="shared" si="52"/>
        <v>2981800.4178960002</v>
      </c>
      <c r="G75">
        <f t="shared" si="53"/>
        <v>-1230.4685200000001</v>
      </c>
      <c r="H75">
        <f t="shared" si="35"/>
        <v>66</v>
      </c>
      <c r="I75">
        <v>0</v>
      </c>
      <c r="J75">
        <v>0</v>
      </c>
      <c r="K75">
        <v>-1225.1192160000001</v>
      </c>
      <c r="L75">
        <v>66</v>
      </c>
      <c r="M75">
        <f t="shared" si="54"/>
        <v>0</v>
      </c>
      <c r="N75">
        <f t="shared" si="54"/>
        <v>0</v>
      </c>
      <c r="O75">
        <f t="shared" si="55"/>
        <v>5.3493040000000747</v>
      </c>
      <c r="P75">
        <v>66</v>
      </c>
      <c r="Q75" t="str">
        <f t="shared" si="56"/>
        <v>70600002,0,0,-1230.47</v>
      </c>
      <c r="R75">
        <v>66</v>
      </c>
      <c r="S75" t="str">
        <f t="shared" si="57"/>
        <v>80600002,0,0,-1230.47</v>
      </c>
    </row>
    <row r="76" spans="1:19" x14ac:dyDescent="0.3">
      <c r="A76">
        <v>70600003</v>
      </c>
      <c r="B76">
        <v>0.89600000000000002</v>
      </c>
      <c r="C76">
        <v>0.17499999999999999</v>
      </c>
      <c r="D76">
        <v>-24.64</v>
      </c>
      <c r="E76">
        <f t="shared" si="51"/>
        <v>455861.09578400006</v>
      </c>
      <c r="F76">
        <f t="shared" si="52"/>
        <v>2981800.592896</v>
      </c>
      <c r="G76">
        <f t="shared" si="53"/>
        <v>-1230.4745200000002</v>
      </c>
      <c r="H76">
        <f t="shared" si="35"/>
        <v>67</v>
      </c>
      <c r="I76">
        <v>0.89611199998762459</v>
      </c>
      <c r="J76">
        <v>0.1737359999679029</v>
      </c>
      <c r="K76">
        <v>-1225.1253120000001</v>
      </c>
      <c r="L76">
        <v>67</v>
      </c>
      <c r="M76">
        <f t="shared" si="54"/>
        <v>1.1199998762456698E-4</v>
      </c>
      <c r="N76">
        <f t="shared" si="54"/>
        <v>-1.2640000320970901E-3</v>
      </c>
      <c r="O76">
        <f t="shared" si="55"/>
        <v>5.3492080000000897</v>
      </c>
      <c r="P76">
        <v>67</v>
      </c>
      <c r="Q76" t="str">
        <f t="shared" si="56"/>
        <v>70600003,0.896,0.175,-1230.47</v>
      </c>
      <c r="R76">
        <v>67</v>
      </c>
      <c r="S76" t="str">
        <f t="shared" si="57"/>
        <v>80600003,0.896,0.175,-1230.47</v>
      </c>
    </row>
    <row r="77" spans="1:19" x14ac:dyDescent="0.3">
      <c r="A77">
        <v>70600004</v>
      </c>
      <c r="B77">
        <v>1.7949999999999999</v>
      </c>
      <c r="C77">
        <v>0.35</v>
      </c>
      <c r="D77">
        <v>-24.643000000000001</v>
      </c>
      <c r="E77">
        <f t="shared" si="51"/>
        <v>455861.99478400004</v>
      </c>
      <c r="F77">
        <f t="shared" si="52"/>
        <v>2981800.7678960003</v>
      </c>
      <c r="G77">
        <f t="shared" si="53"/>
        <v>-1230.4775200000001</v>
      </c>
      <c r="H77">
        <f t="shared" si="35"/>
        <v>68</v>
      </c>
      <c r="I77">
        <v>1.7952720000175759</v>
      </c>
      <c r="J77">
        <v>0.35051999986171722</v>
      </c>
      <c r="K77">
        <v>-1225.1283599999999</v>
      </c>
      <c r="L77">
        <v>68</v>
      </c>
      <c r="M77">
        <f t="shared" si="54"/>
        <v>2.7200001757599068E-4</v>
      </c>
      <c r="N77">
        <f t="shared" si="54"/>
        <v>5.1999986171724633E-4</v>
      </c>
      <c r="O77">
        <f t="shared" si="55"/>
        <v>5.3491600000002109</v>
      </c>
      <c r="P77">
        <v>68</v>
      </c>
      <c r="Q77" t="str">
        <f t="shared" si="56"/>
        <v>70600004,1.795,0.35,-1230.48</v>
      </c>
      <c r="R77">
        <v>68</v>
      </c>
      <c r="S77" t="str">
        <f t="shared" si="57"/>
        <v>80600004,1.795,0.35,-1230.48</v>
      </c>
    </row>
    <row r="78" spans="1:19" x14ac:dyDescent="0.3">
      <c r="A78">
        <v>70600005</v>
      </c>
      <c r="B78">
        <v>2.6909999999999998</v>
      </c>
      <c r="C78">
        <v>0.52400000000000002</v>
      </c>
      <c r="D78">
        <v>-24.643000000000001</v>
      </c>
      <c r="E78">
        <f t="shared" si="51"/>
        <v>455862.89078400005</v>
      </c>
      <c r="F78">
        <f t="shared" si="52"/>
        <v>2981800.9418960004</v>
      </c>
      <c r="G78">
        <f t="shared" si="53"/>
        <v>-1230.4775200000001</v>
      </c>
      <c r="H78">
        <f t="shared" si="35"/>
        <v>69</v>
      </c>
      <c r="I78">
        <v>2.6913840000052005</v>
      </c>
      <c r="J78">
        <v>0.52425600029528141</v>
      </c>
      <c r="K78">
        <v>-1225.1283599999999</v>
      </c>
      <c r="L78">
        <v>69</v>
      </c>
      <c r="M78">
        <f t="shared" si="54"/>
        <v>3.8400000520066868E-4</v>
      </c>
      <c r="N78">
        <f t="shared" si="54"/>
        <v>2.560002952813889E-4</v>
      </c>
      <c r="O78">
        <f t="shared" si="55"/>
        <v>5.3491600000002109</v>
      </c>
      <c r="P78">
        <v>69</v>
      </c>
      <c r="Q78" t="str">
        <f t="shared" si="56"/>
        <v>70600005,2.691,0.524,-1230.48</v>
      </c>
      <c r="R78">
        <v>69</v>
      </c>
      <c r="S78" t="str">
        <f t="shared" si="57"/>
        <v>80600005,2.691,0.524,-1230.48</v>
      </c>
    </row>
    <row r="79" spans="1:19" x14ac:dyDescent="0.3">
      <c r="A79">
        <v>70600006</v>
      </c>
      <c r="B79">
        <v>3.5910000000000002</v>
      </c>
      <c r="C79">
        <v>0.7</v>
      </c>
      <c r="D79">
        <v>-24.631</v>
      </c>
      <c r="E79">
        <f t="shared" si="51"/>
        <v>455863.79078400007</v>
      </c>
      <c r="F79">
        <f t="shared" si="52"/>
        <v>2981801.1178960004</v>
      </c>
      <c r="G79">
        <f t="shared" si="53"/>
        <v>-1230.4655200000002</v>
      </c>
      <c r="H79">
        <f t="shared" si="35"/>
        <v>70</v>
      </c>
      <c r="I79">
        <v>3.5905440000351518</v>
      </c>
      <c r="J79">
        <v>0.70104000018909574</v>
      </c>
      <c r="K79">
        <v>-1225.116168</v>
      </c>
      <c r="L79">
        <v>70</v>
      </c>
      <c r="M79">
        <f t="shared" si="54"/>
        <v>-4.5599996484835259E-4</v>
      </c>
      <c r="N79">
        <f t="shared" si="54"/>
        <v>1.04000018909578E-3</v>
      </c>
      <c r="O79">
        <f t="shared" si="55"/>
        <v>5.3493520000001809</v>
      </c>
      <c r="P79">
        <v>70</v>
      </c>
      <c r="Q79" t="str">
        <f t="shared" si="56"/>
        <v>70600006,3.591,0.7,-1230.47</v>
      </c>
      <c r="R79">
        <v>70</v>
      </c>
      <c r="S79" t="str">
        <f t="shared" si="57"/>
        <v>80600006,3.591,0.7,-1230.47</v>
      </c>
    </row>
    <row r="80" spans="1:19" x14ac:dyDescent="0.3">
      <c r="A80" t="s">
        <v>246</v>
      </c>
      <c r="H80">
        <f t="shared" si="35"/>
        <v>71</v>
      </c>
      <c r="L80">
        <v>71</v>
      </c>
      <c r="P80">
        <v>71</v>
      </c>
      <c r="Q80" t="str">
        <f>A80</f>
        <v>**</v>
      </c>
      <c r="R80">
        <v>71</v>
      </c>
      <c r="S80" t="str">
        <f>Q80</f>
        <v>**</v>
      </c>
    </row>
    <row r="81" spans="1:19" x14ac:dyDescent="0.3">
      <c r="A81" t="s">
        <v>263</v>
      </c>
      <c r="H81">
        <f t="shared" si="35"/>
        <v>72</v>
      </c>
      <c r="I81" t="s">
        <v>9</v>
      </c>
      <c r="K81">
        <v>3.0492265730908072</v>
      </c>
      <c r="L81">
        <v>72</v>
      </c>
      <c r="P81">
        <v>72</v>
      </c>
      <c r="Q81" t="str">
        <f t="shared" ref="Q81:Q82" si="58">A81</f>
        <v>** Corridor #7</v>
      </c>
      <c r="R81">
        <v>72</v>
      </c>
      <c r="S81" t="str">
        <f t="shared" ref="S81:S82" si="59">Q81</f>
        <v>** Corridor #7</v>
      </c>
    </row>
    <row r="82" spans="1:19" x14ac:dyDescent="0.3">
      <c r="A82" t="s">
        <v>246</v>
      </c>
      <c r="H82">
        <f t="shared" si="35"/>
        <v>73</v>
      </c>
      <c r="I82" t="s">
        <v>0</v>
      </c>
      <c r="J82" t="s">
        <v>1</v>
      </c>
      <c r="K82" t="s">
        <v>2</v>
      </c>
      <c r="L82">
        <v>73</v>
      </c>
      <c r="P82">
        <v>73</v>
      </c>
      <c r="Q82" t="str">
        <f t="shared" si="58"/>
        <v>**</v>
      </c>
      <c r="R82">
        <v>73</v>
      </c>
      <c r="S82" t="str">
        <f t="shared" si="59"/>
        <v>**</v>
      </c>
    </row>
    <row r="83" spans="1:19" x14ac:dyDescent="0.3">
      <c r="A83">
        <v>70700001</v>
      </c>
      <c r="B83">
        <v>-30.5</v>
      </c>
      <c r="C83">
        <v>-2.8370000000000002</v>
      </c>
      <c r="D83">
        <v>-24.613</v>
      </c>
      <c r="E83">
        <f t="shared" ref="E83:E90" si="60">B83+$H$1</f>
        <v>455829.69978400005</v>
      </c>
      <c r="F83">
        <f t="shared" ref="F83:F90" si="61">C83+$H$2</f>
        <v>2981797.5808960004</v>
      </c>
      <c r="G83">
        <f t="shared" ref="G83:G90" si="62">D83+$H$3</f>
        <v>-1230.4475200000002</v>
      </c>
      <c r="H83">
        <f t="shared" si="35"/>
        <v>74</v>
      </c>
      <c r="I83">
        <v>-30.504978818062227</v>
      </c>
      <c r="J83">
        <v>-2.8082252843305469</v>
      </c>
      <c r="K83">
        <v>-1225.09788</v>
      </c>
      <c r="L83">
        <v>74</v>
      </c>
      <c r="M83">
        <f t="shared" ref="M83:N90" si="63">I83-B83</f>
        <v>-4.9788180622272193E-3</v>
      </c>
      <c r="N83">
        <f t="shared" si="63"/>
        <v>2.8774715669453332E-2</v>
      </c>
      <c r="O83">
        <f t="shared" ref="O83:O90" si="64">K83-G83</f>
        <v>5.3496400000001358</v>
      </c>
      <c r="P83">
        <v>74</v>
      </c>
      <c r="Q83" t="str">
        <f t="shared" ref="Q83:Q90" si="65">A83&amp;","&amp;ROUND(B83,3)&amp;","&amp;ROUND(C83,3)&amp;","&amp;ROUND(G83,2)</f>
        <v>70700001,-30.5,-2.837,-1230.45</v>
      </c>
      <c r="R83">
        <v>74</v>
      </c>
      <c r="S83" t="str">
        <f t="shared" ref="S83:S90" si="66">A83+10000000&amp;","&amp;ROUND(B83,3)&amp;","&amp;ROUND(C83,3)&amp;","&amp;ROUND(G83,2)</f>
        <v>80700001,-30.5,-2.837,-1230.45</v>
      </c>
    </row>
    <row r="84" spans="1:19" x14ac:dyDescent="0.3">
      <c r="A84">
        <v>70700002</v>
      </c>
      <c r="B84">
        <v>-0.58299999999999996</v>
      </c>
      <c r="C84">
        <v>2.9929999999999999</v>
      </c>
      <c r="D84">
        <v>-24.613</v>
      </c>
      <c r="E84">
        <f t="shared" si="60"/>
        <v>455859.61678400007</v>
      </c>
      <c r="F84">
        <f t="shared" si="61"/>
        <v>2981803.410896</v>
      </c>
      <c r="G84">
        <f t="shared" si="62"/>
        <v>-1230.4475200000002</v>
      </c>
      <c r="H84">
        <f t="shared" si="35"/>
        <v>75</v>
      </c>
      <c r="I84">
        <v>-0.58216799999354407</v>
      </c>
      <c r="J84">
        <v>2.9931359998881817</v>
      </c>
      <c r="K84">
        <v>-1225.09788</v>
      </c>
      <c r="L84">
        <v>75</v>
      </c>
      <c r="M84">
        <f t="shared" si="63"/>
        <v>8.3200000645589078E-4</v>
      </c>
      <c r="N84">
        <f t="shared" si="63"/>
        <v>1.3599988818180364E-4</v>
      </c>
      <c r="O84">
        <f t="shared" si="64"/>
        <v>5.3496400000001358</v>
      </c>
      <c r="P84">
        <v>75</v>
      </c>
      <c r="Q84" t="str">
        <f t="shared" si="65"/>
        <v>70700002,-0.583,2.993,-1230.45</v>
      </c>
      <c r="R84">
        <v>75</v>
      </c>
      <c r="S84" t="str">
        <f t="shared" si="66"/>
        <v>80700002,-0.583,2.993,-1230.45</v>
      </c>
    </row>
    <row r="85" spans="1:19" x14ac:dyDescent="0.3">
      <c r="A85">
        <v>70700003</v>
      </c>
      <c r="B85">
        <v>0.313</v>
      </c>
      <c r="C85">
        <v>3.1680000000000001</v>
      </c>
      <c r="D85">
        <v>-24.613</v>
      </c>
      <c r="E85">
        <f t="shared" si="60"/>
        <v>455860.51278400008</v>
      </c>
      <c r="F85">
        <f t="shared" si="61"/>
        <v>2981803.5858960003</v>
      </c>
      <c r="G85">
        <f t="shared" si="62"/>
        <v>-1230.4475200000002</v>
      </c>
      <c r="H85">
        <f t="shared" si="35"/>
        <v>76</v>
      </c>
      <c r="I85">
        <v>0.31394399999408051</v>
      </c>
      <c r="J85">
        <v>3.1668719998560846</v>
      </c>
      <c r="K85">
        <v>-1225.09788</v>
      </c>
      <c r="L85">
        <v>76</v>
      </c>
      <c r="M85">
        <f t="shared" si="63"/>
        <v>9.4399999408051327E-4</v>
      </c>
      <c r="N85">
        <f t="shared" si="63"/>
        <v>-1.128000143915564E-3</v>
      </c>
      <c r="O85">
        <f t="shared" si="64"/>
        <v>5.3496400000001358</v>
      </c>
      <c r="P85">
        <v>76</v>
      </c>
      <c r="Q85" t="str">
        <f t="shared" si="65"/>
        <v>70700003,0.313,3.168,-1230.45</v>
      </c>
      <c r="R85">
        <v>76</v>
      </c>
      <c r="S85" t="str">
        <f t="shared" si="66"/>
        <v>80700003,0.313,3.168,-1230.45</v>
      </c>
    </row>
    <row r="86" spans="1:19" x14ac:dyDescent="0.3">
      <c r="A86">
        <v>70700004</v>
      </c>
      <c r="B86">
        <v>1.212</v>
      </c>
      <c r="C86">
        <v>3.343</v>
      </c>
      <c r="D86">
        <v>-24.616</v>
      </c>
      <c r="E86">
        <f t="shared" si="60"/>
        <v>455861.41178400005</v>
      </c>
      <c r="F86">
        <f t="shared" si="61"/>
        <v>2981803.7608960001</v>
      </c>
      <c r="G86">
        <f t="shared" si="62"/>
        <v>-1230.4505200000001</v>
      </c>
      <c r="H86">
        <f t="shared" si="35"/>
        <v>77</v>
      </c>
      <c r="I86">
        <v>1.2131040000240318</v>
      </c>
      <c r="J86">
        <v>3.3406080002896488</v>
      </c>
      <c r="K86">
        <v>-1225.1009280000001</v>
      </c>
      <c r="L86">
        <v>77</v>
      </c>
      <c r="M86">
        <f t="shared" si="63"/>
        <v>1.1040000240318815E-3</v>
      </c>
      <c r="N86">
        <f t="shared" si="63"/>
        <v>-2.3919997103512003E-3</v>
      </c>
      <c r="O86">
        <f t="shared" si="64"/>
        <v>5.3495920000000297</v>
      </c>
      <c r="P86">
        <v>77</v>
      </c>
      <c r="Q86" t="str">
        <f t="shared" si="65"/>
        <v>70700004,1.212,3.343,-1230.45</v>
      </c>
      <c r="R86">
        <v>77</v>
      </c>
      <c r="S86" t="str">
        <f t="shared" si="66"/>
        <v>80700004,1.212,3.343,-1230.45</v>
      </c>
    </row>
    <row r="87" spans="1:19" x14ac:dyDescent="0.3">
      <c r="A87">
        <v>70700005</v>
      </c>
      <c r="B87">
        <v>2.1080000000000001</v>
      </c>
      <c r="C87">
        <v>3.5169999999999999</v>
      </c>
      <c r="D87">
        <v>-24.616</v>
      </c>
      <c r="E87">
        <f t="shared" si="60"/>
        <v>455862.30778400006</v>
      </c>
      <c r="F87">
        <f t="shared" si="61"/>
        <v>2981803.9348960002</v>
      </c>
      <c r="G87">
        <f t="shared" si="62"/>
        <v>-1230.4505200000001</v>
      </c>
      <c r="H87">
        <f t="shared" si="35"/>
        <v>78</v>
      </c>
      <c r="I87">
        <v>2.1092160000116564</v>
      </c>
      <c r="J87">
        <v>3.5173920001834631</v>
      </c>
      <c r="K87">
        <v>-1225.1009280000001</v>
      </c>
      <c r="L87">
        <v>78</v>
      </c>
      <c r="M87">
        <f t="shared" si="63"/>
        <v>1.2160000116563374E-3</v>
      </c>
      <c r="N87">
        <f t="shared" si="63"/>
        <v>3.9200018346319254E-4</v>
      </c>
      <c r="O87">
        <f t="shared" si="64"/>
        <v>5.3495920000000297</v>
      </c>
      <c r="P87">
        <v>78</v>
      </c>
      <c r="Q87" t="str">
        <f t="shared" si="65"/>
        <v>70700005,2.108,3.517,-1230.45</v>
      </c>
      <c r="R87">
        <v>78</v>
      </c>
      <c r="S87" t="str">
        <f t="shared" si="66"/>
        <v>80700005,2.108,3.517,-1230.45</v>
      </c>
    </row>
    <row r="88" spans="1:19" x14ac:dyDescent="0.3">
      <c r="A88">
        <v>70700006</v>
      </c>
      <c r="B88">
        <v>3.008</v>
      </c>
      <c r="C88">
        <v>3.6930000000000001</v>
      </c>
      <c r="D88">
        <v>-24.613</v>
      </c>
      <c r="E88">
        <f t="shared" si="60"/>
        <v>455863.20778400003</v>
      </c>
      <c r="F88">
        <f t="shared" si="61"/>
        <v>2981804.1108960002</v>
      </c>
      <c r="G88">
        <f t="shared" si="62"/>
        <v>-1230.4475200000002</v>
      </c>
      <c r="H88">
        <f t="shared" si="35"/>
        <v>79</v>
      </c>
      <c r="I88">
        <v>3.0083760000416078</v>
      </c>
      <c r="J88">
        <v>3.6911279996857047</v>
      </c>
      <c r="K88">
        <v>-1225.09788</v>
      </c>
      <c r="L88">
        <v>79</v>
      </c>
      <c r="M88">
        <f t="shared" si="63"/>
        <v>3.7600004160776024E-4</v>
      </c>
      <c r="N88">
        <f t="shared" si="63"/>
        <v>-1.8720003142953523E-3</v>
      </c>
      <c r="O88">
        <f t="shared" si="64"/>
        <v>5.3496400000001358</v>
      </c>
      <c r="P88">
        <v>79</v>
      </c>
      <c r="Q88" t="str">
        <f t="shared" si="65"/>
        <v>70700006,3.008,3.693,-1230.45</v>
      </c>
      <c r="R88">
        <v>79</v>
      </c>
      <c r="S88" t="str">
        <f t="shared" si="66"/>
        <v>80700006,3.008,3.693,-1230.45</v>
      </c>
    </row>
    <row r="89" spans="1:19" x14ac:dyDescent="0.3">
      <c r="A89">
        <v>70700007</v>
      </c>
      <c r="B89">
        <v>3.9039999999999999</v>
      </c>
      <c r="C89">
        <v>3.867</v>
      </c>
      <c r="D89">
        <v>-24.603000000000002</v>
      </c>
      <c r="E89">
        <f t="shared" si="60"/>
        <v>455864.10378400004</v>
      </c>
      <c r="F89">
        <f t="shared" si="61"/>
        <v>2981804.2848960003</v>
      </c>
      <c r="G89">
        <f t="shared" si="62"/>
        <v>-1230.4375200000002</v>
      </c>
      <c r="H89">
        <f t="shared" si="35"/>
        <v>80</v>
      </c>
      <c r="I89">
        <v>3.9044880000292324</v>
      </c>
      <c r="J89">
        <v>3.8648639996536076</v>
      </c>
      <c r="K89">
        <v>-1225.0887360000002</v>
      </c>
      <c r="L89">
        <v>80</v>
      </c>
      <c r="M89">
        <f t="shared" si="63"/>
        <v>4.8800002923243824E-4</v>
      </c>
      <c r="N89">
        <f t="shared" si="63"/>
        <v>-2.136000346392386E-3</v>
      </c>
      <c r="O89">
        <f t="shared" si="64"/>
        <v>5.3487840000000233</v>
      </c>
      <c r="P89">
        <v>80</v>
      </c>
      <c r="Q89" t="str">
        <f t="shared" si="65"/>
        <v>70700007,3.904,3.867,-1230.44</v>
      </c>
      <c r="R89">
        <v>80</v>
      </c>
      <c r="S89" t="str">
        <f t="shared" si="66"/>
        <v>80700007,3.904,3.867,-1230.44</v>
      </c>
    </row>
    <row r="90" spans="1:19" x14ac:dyDescent="0.3">
      <c r="A90">
        <v>70700008</v>
      </c>
      <c r="B90">
        <v>4.8019999999999996</v>
      </c>
      <c r="C90">
        <v>4.0419999999999998</v>
      </c>
      <c r="D90">
        <v>-24.591000000000001</v>
      </c>
      <c r="E90">
        <f t="shared" si="60"/>
        <v>455865.00178400008</v>
      </c>
      <c r="F90">
        <f t="shared" si="61"/>
        <v>2981804.4598960001</v>
      </c>
      <c r="G90">
        <f t="shared" si="62"/>
        <v>-1230.42552</v>
      </c>
      <c r="H90">
        <f t="shared" si="35"/>
        <v>81</v>
      </c>
      <c r="I90">
        <v>4.803648000000976</v>
      </c>
      <c r="J90">
        <v>4.0416480000130832</v>
      </c>
      <c r="K90">
        <v>-1225.076544</v>
      </c>
      <c r="L90">
        <v>81</v>
      </c>
      <c r="M90">
        <f t="shared" si="63"/>
        <v>1.648000000976424E-3</v>
      </c>
      <c r="N90">
        <f t="shared" si="63"/>
        <v>-3.5199998691659573E-4</v>
      </c>
      <c r="O90">
        <f t="shared" si="64"/>
        <v>5.3489759999999933</v>
      </c>
      <c r="P90">
        <v>81</v>
      </c>
      <c r="Q90" t="str">
        <f t="shared" si="65"/>
        <v>70700008,4.802,4.042,-1230.43</v>
      </c>
      <c r="R90">
        <v>81</v>
      </c>
      <c r="S90" t="str">
        <f t="shared" si="66"/>
        <v>80700008,4.802,4.042,-1230.43</v>
      </c>
    </row>
    <row r="91" spans="1:19" x14ac:dyDescent="0.3">
      <c r="A91" t="s">
        <v>246</v>
      </c>
      <c r="H91">
        <f t="shared" si="35"/>
        <v>82</v>
      </c>
      <c r="L91">
        <v>82</v>
      </c>
      <c r="P91">
        <v>82</v>
      </c>
      <c r="Q91" t="str">
        <f>A91</f>
        <v>**</v>
      </c>
      <c r="R91">
        <v>82</v>
      </c>
      <c r="S91" t="str">
        <f>Q91</f>
        <v>**</v>
      </c>
    </row>
    <row r="92" spans="1:19" x14ac:dyDescent="0.3">
      <c r="A92" t="s">
        <v>264</v>
      </c>
      <c r="H92">
        <f t="shared" si="35"/>
        <v>83</v>
      </c>
      <c r="I92" t="s">
        <v>8</v>
      </c>
      <c r="K92">
        <v>6.0960441961556864</v>
      </c>
      <c r="L92">
        <v>83</v>
      </c>
      <c r="P92">
        <v>83</v>
      </c>
      <c r="Q92" t="str">
        <f t="shared" ref="Q92:Q93" si="67">A92</f>
        <v>** Corridor #8</v>
      </c>
      <c r="R92">
        <v>83</v>
      </c>
      <c r="S92" t="str">
        <f t="shared" ref="S92:S93" si="68">Q92</f>
        <v>** Corridor #8</v>
      </c>
    </row>
    <row r="93" spans="1:19" x14ac:dyDescent="0.3">
      <c r="A93" t="s">
        <v>246</v>
      </c>
      <c r="H93">
        <f t="shared" si="35"/>
        <v>84</v>
      </c>
      <c r="I93" t="s">
        <v>0</v>
      </c>
      <c r="J93" t="s">
        <v>1</v>
      </c>
      <c r="K93" t="s">
        <v>2</v>
      </c>
      <c r="L93">
        <v>84</v>
      </c>
      <c r="P93">
        <v>84</v>
      </c>
      <c r="Q93" t="str">
        <f t="shared" si="67"/>
        <v>**</v>
      </c>
      <c r="R93">
        <v>84</v>
      </c>
      <c r="S93" t="str">
        <f t="shared" si="68"/>
        <v>**</v>
      </c>
    </row>
    <row r="94" spans="1:19" x14ac:dyDescent="0.3">
      <c r="A94">
        <v>70800001</v>
      </c>
      <c r="B94">
        <v>-31.082999999999998</v>
      </c>
      <c r="C94">
        <v>0.154</v>
      </c>
      <c r="D94">
        <v>-24.576000000000001</v>
      </c>
      <c r="E94">
        <f t="shared" ref="E94:E100" si="69">B94+$H$1</f>
        <v>455829.11678400007</v>
      </c>
      <c r="F94">
        <f t="shared" ref="F94:F100" si="70">C94+$H$2</f>
        <v>2981800.5718960003</v>
      </c>
      <c r="G94">
        <f t="shared" ref="G94:G100" si="71">D94+$H$3</f>
        <v>-1230.4105200000001</v>
      </c>
      <c r="H94">
        <f t="shared" si="35"/>
        <v>85</v>
      </c>
      <c r="I94">
        <v>-31.090194818156306</v>
      </c>
      <c r="J94">
        <v>0.20152834756299853</v>
      </c>
      <c r="K94">
        <v>-1225.0613040000001</v>
      </c>
      <c r="L94">
        <v>85</v>
      </c>
      <c r="M94">
        <f t="shared" ref="M94:N100" si="72">I94-B94</f>
        <v>-7.1948181563072922E-3</v>
      </c>
      <c r="N94">
        <f t="shared" si="72"/>
        <v>4.7528347562998535E-2</v>
      </c>
      <c r="O94">
        <f t="shared" ref="O94:O100" si="73">K94-G94</f>
        <v>5.3492160000000695</v>
      </c>
      <c r="P94">
        <v>85</v>
      </c>
      <c r="Q94" t="str">
        <f t="shared" ref="Q94:Q100" si="74">A94&amp;","&amp;ROUND(B94,3)&amp;","&amp;ROUND(C94,3)&amp;","&amp;ROUND(G94,2)</f>
        <v>70800001,-31.083,0.154,-1230.41</v>
      </c>
      <c r="R94">
        <v>85</v>
      </c>
      <c r="S94" t="str">
        <f t="shared" ref="S94:S100" si="75">A94+10000000&amp;","&amp;ROUND(B94,3)&amp;","&amp;ROUND(C94,3)&amp;","&amp;ROUND(G94,2)</f>
        <v>80800001,-31.083,0.154,-1230.41</v>
      </c>
    </row>
    <row r="95" spans="1:19" x14ac:dyDescent="0.3">
      <c r="A95">
        <v>70800002</v>
      </c>
      <c r="B95">
        <v>-1.1659999999999999</v>
      </c>
      <c r="C95">
        <v>5.9829999999999997</v>
      </c>
      <c r="D95">
        <v>-24.576000000000001</v>
      </c>
      <c r="E95">
        <f t="shared" si="69"/>
        <v>455859.03378400003</v>
      </c>
      <c r="F95">
        <f t="shared" si="70"/>
        <v>2981806.4008960002</v>
      </c>
      <c r="G95">
        <f t="shared" si="71"/>
        <v>-1230.4105200000001</v>
      </c>
      <c r="H95">
        <f t="shared" si="35"/>
        <v>86</v>
      </c>
      <c r="I95">
        <v>-1.1673840000294149</v>
      </c>
      <c r="J95">
        <v>5.9832240003161132</v>
      </c>
      <c r="K95">
        <v>-1225.0613040000001</v>
      </c>
      <c r="L95">
        <v>86</v>
      </c>
      <c r="M95">
        <f t="shared" si="72"/>
        <v>-1.3840000294149668E-3</v>
      </c>
      <c r="N95">
        <f t="shared" si="72"/>
        <v>2.2400031611358173E-4</v>
      </c>
      <c r="O95">
        <f t="shared" si="73"/>
        <v>5.3492160000000695</v>
      </c>
      <c r="P95">
        <v>86</v>
      </c>
      <c r="Q95" t="str">
        <f t="shared" si="74"/>
        <v>70800002,-1.166,5.983,-1230.41</v>
      </c>
      <c r="R95">
        <v>86</v>
      </c>
      <c r="S95" t="str">
        <f t="shared" si="75"/>
        <v>80800002,-1.166,5.983,-1230.41</v>
      </c>
    </row>
    <row r="96" spans="1:19" x14ac:dyDescent="0.3">
      <c r="A96">
        <v>70800003</v>
      </c>
      <c r="B96">
        <v>-0.27</v>
      </c>
      <c r="C96">
        <v>6.1580000000000004</v>
      </c>
      <c r="D96">
        <v>-24.579000000000001</v>
      </c>
      <c r="E96">
        <f t="shared" si="69"/>
        <v>455859.92978400004</v>
      </c>
      <c r="F96">
        <f t="shared" si="70"/>
        <v>2981806.575896</v>
      </c>
      <c r="G96">
        <f t="shared" si="71"/>
        <v>-1230.4135200000001</v>
      </c>
      <c r="H96">
        <f t="shared" si="35"/>
        <v>87</v>
      </c>
      <c r="I96">
        <v>-0.2682239999412559</v>
      </c>
      <c r="J96">
        <v>6.1569600002840161</v>
      </c>
      <c r="K96">
        <v>-1225.0643520000001</v>
      </c>
      <c r="L96">
        <v>87</v>
      </c>
      <c r="M96">
        <f t="shared" si="72"/>
        <v>1.7760000587441205E-3</v>
      </c>
      <c r="N96">
        <f t="shared" si="72"/>
        <v>-1.03999971598423E-3</v>
      </c>
      <c r="O96">
        <f t="shared" si="73"/>
        <v>5.3491679999999633</v>
      </c>
      <c r="P96">
        <v>87</v>
      </c>
      <c r="Q96" t="str">
        <f t="shared" si="74"/>
        <v>70800003,-0.27,6.158,-1230.41</v>
      </c>
      <c r="R96">
        <v>87</v>
      </c>
      <c r="S96" t="str">
        <f t="shared" si="75"/>
        <v>80800003,-0.27,6.158,-1230.41</v>
      </c>
    </row>
    <row r="97" spans="1:19" x14ac:dyDescent="0.3">
      <c r="A97">
        <v>70800004</v>
      </c>
      <c r="B97">
        <v>0.629</v>
      </c>
      <c r="C97">
        <v>6.3330000000000002</v>
      </c>
      <c r="D97">
        <v>-24.579000000000001</v>
      </c>
      <c r="E97">
        <f t="shared" si="69"/>
        <v>455860.82878400007</v>
      </c>
      <c r="F97">
        <f t="shared" si="70"/>
        <v>2981806.7508960003</v>
      </c>
      <c r="G97">
        <f t="shared" si="71"/>
        <v>-1230.4135200000001</v>
      </c>
      <c r="H97">
        <f t="shared" si="35"/>
        <v>88</v>
      </c>
      <c r="I97">
        <v>0.62788800004636869</v>
      </c>
      <c r="J97">
        <v>6.3337440001778305</v>
      </c>
      <c r="K97">
        <v>-1225.0643520000001</v>
      </c>
      <c r="L97">
        <v>88</v>
      </c>
      <c r="M97">
        <f t="shared" si="72"/>
        <v>-1.1119999536313152E-3</v>
      </c>
      <c r="N97">
        <f t="shared" si="72"/>
        <v>7.4400017783027295E-4</v>
      </c>
      <c r="O97">
        <f t="shared" si="73"/>
        <v>5.3491679999999633</v>
      </c>
      <c r="P97">
        <v>88</v>
      </c>
      <c r="Q97" t="str">
        <f t="shared" si="74"/>
        <v>70800004,0.629,6.333,-1230.41</v>
      </c>
      <c r="R97">
        <v>88</v>
      </c>
      <c r="S97" t="str">
        <f t="shared" si="75"/>
        <v>80800004,0.629,6.333,-1230.41</v>
      </c>
    </row>
    <row r="98" spans="1:19" x14ac:dyDescent="0.3">
      <c r="A98">
        <v>70800005</v>
      </c>
      <c r="B98">
        <v>1.5249999999999999</v>
      </c>
      <c r="C98">
        <v>6.508</v>
      </c>
      <c r="D98">
        <v>-24.576000000000001</v>
      </c>
      <c r="E98">
        <f t="shared" si="69"/>
        <v>455861.72478400008</v>
      </c>
      <c r="F98">
        <f t="shared" si="70"/>
        <v>2981806.9258960001</v>
      </c>
      <c r="G98">
        <f t="shared" si="71"/>
        <v>-1230.4105200000001</v>
      </c>
      <c r="H98">
        <f t="shared" si="35"/>
        <v>89</v>
      </c>
      <c r="I98">
        <v>1.5270480000181124</v>
      </c>
      <c r="J98">
        <v>6.5074799996800721</v>
      </c>
      <c r="K98">
        <v>-1225.0613040000001</v>
      </c>
      <c r="L98">
        <v>89</v>
      </c>
      <c r="M98">
        <f t="shared" si="72"/>
        <v>2.0480000181124502E-3</v>
      </c>
      <c r="N98">
        <f t="shared" si="72"/>
        <v>-5.2000031992793794E-4</v>
      </c>
      <c r="O98">
        <f t="shared" si="73"/>
        <v>5.3492160000000695</v>
      </c>
      <c r="P98">
        <v>89</v>
      </c>
      <c r="Q98" t="str">
        <f t="shared" si="74"/>
        <v>70800005,1.525,6.508,-1230.41</v>
      </c>
      <c r="R98">
        <v>89</v>
      </c>
      <c r="S98" t="str">
        <f t="shared" si="75"/>
        <v>80800005,1.525,6.508,-1230.41</v>
      </c>
    </row>
    <row r="99" spans="1:19" x14ac:dyDescent="0.3">
      <c r="A99">
        <v>70800006</v>
      </c>
      <c r="B99">
        <v>2.4249999999999998</v>
      </c>
      <c r="C99">
        <v>6.6829999999999998</v>
      </c>
      <c r="D99">
        <v>-24.573</v>
      </c>
      <c r="E99">
        <f t="shared" si="69"/>
        <v>455862.62478400004</v>
      </c>
      <c r="F99">
        <f t="shared" si="70"/>
        <v>2981807.1008960004</v>
      </c>
      <c r="G99">
        <f t="shared" si="71"/>
        <v>-1230.4075200000002</v>
      </c>
      <c r="H99">
        <f t="shared" si="35"/>
        <v>90</v>
      </c>
      <c r="I99">
        <v>2.4231600000057369</v>
      </c>
      <c r="J99">
        <v>6.6842639995738864</v>
      </c>
      <c r="K99">
        <v>-1225.058256</v>
      </c>
      <c r="L99">
        <v>90</v>
      </c>
      <c r="M99">
        <f t="shared" si="72"/>
        <v>-1.8399999942628753E-3</v>
      </c>
      <c r="N99">
        <f t="shared" si="72"/>
        <v>1.263999573886565E-3</v>
      </c>
      <c r="O99">
        <f t="shared" si="73"/>
        <v>5.3492640000001757</v>
      </c>
      <c r="P99">
        <v>90</v>
      </c>
      <c r="Q99" t="str">
        <f t="shared" si="74"/>
        <v>70800006,2.425,6.683,-1230.41</v>
      </c>
      <c r="R99">
        <v>90</v>
      </c>
      <c r="S99" t="str">
        <f t="shared" si="75"/>
        <v>80800006,2.425,6.683,-1230.41</v>
      </c>
    </row>
    <row r="100" spans="1:19" x14ac:dyDescent="0.3">
      <c r="A100">
        <v>70800007</v>
      </c>
      <c r="B100">
        <v>3.3210000000000002</v>
      </c>
      <c r="C100">
        <v>6.8579999999999997</v>
      </c>
      <c r="D100">
        <v>-24.567</v>
      </c>
      <c r="E100">
        <f t="shared" si="69"/>
        <v>455863.52078400005</v>
      </c>
      <c r="F100">
        <f t="shared" si="70"/>
        <v>2981807.2758960002</v>
      </c>
      <c r="G100">
        <f t="shared" si="71"/>
        <v>-1230.4015200000001</v>
      </c>
      <c r="H100">
        <f t="shared" si="35"/>
        <v>91</v>
      </c>
      <c r="I100">
        <v>3.3223199999774806</v>
      </c>
      <c r="J100">
        <v>6.8580000000074506</v>
      </c>
      <c r="K100">
        <v>-1225.05216</v>
      </c>
      <c r="L100">
        <v>91</v>
      </c>
      <c r="M100">
        <f t="shared" si="72"/>
        <v>1.3199999774804461E-3</v>
      </c>
      <c r="N100">
        <f t="shared" si="72"/>
        <v>7.4509287628643506E-12</v>
      </c>
      <c r="O100">
        <f t="shared" si="73"/>
        <v>5.3493600000001607</v>
      </c>
      <c r="P100">
        <v>91</v>
      </c>
      <c r="Q100" t="str">
        <f t="shared" si="74"/>
        <v>70800007,3.321,6.858,-1230.4</v>
      </c>
      <c r="R100">
        <v>91</v>
      </c>
      <c r="S100" t="str">
        <f t="shared" si="75"/>
        <v>80800007,3.321,6.858,-1230.4</v>
      </c>
    </row>
    <row r="101" spans="1:19" x14ac:dyDescent="0.3">
      <c r="A101" t="s">
        <v>246</v>
      </c>
      <c r="H101">
        <f t="shared" si="35"/>
        <v>92</v>
      </c>
      <c r="L101">
        <v>92</v>
      </c>
      <c r="P101">
        <v>92</v>
      </c>
      <c r="Q101" t="str">
        <f>A101</f>
        <v>**</v>
      </c>
      <c r="R101">
        <v>92</v>
      </c>
      <c r="S101" t="str">
        <f>Q101</f>
        <v>**</v>
      </c>
    </row>
    <row r="102" spans="1:19" x14ac:dyDescent="0.3">
      <c r="A102" t="s">
        <v>265</v>
      </c>
      <c r="H102">
        <f t="shared" si="35"/>
        <v>93</v>
      </c>
      <c r="I102" t="s">
        <v>7</v>
      </c>
      <c r="K102">
        <v>9.145270419941026</v>
      </c>
      <c r="L102">
        <v>93</v>
      </c>
      <c r="P102">
        <v>93</v>
      </c>
      <c r="Q102" t="str">
        <f t="shared" ref="Q102:Q103" si="76">A102</f>
        <v>** Corridor #9</v>
      </c>
      <c r="R102">
        <v>93</v>
      </c>
      <c r="S102" t="str">
        <f t="shared" ref="S102:S103" si="77">Q102</f>
        <v>** Corridor #9</v>
      </c>
    </row>
    <row r="103" spans="1:19" x14ac:dyDescent="0.3">
      <c r="A103" t="s">
        <v>246</v>
      </c>
      <c r="H103">
        <f t="shared" si="35"/>
        <v>94</v>
      </c>
      <c r="I103" t="s">
        <v>0</v>
      </c>
      <c r="J103" t="s">
        <v>1</v>
      </c>
      <c r="K103" t="s">
        <v>2</v>
      </c>
      <c r="L103">
        <v>94</v>
      </c>
      <c r="P103">
        <v>94</v>
      </c>
      <c r="Q103" t="str">
        <f t="shared" si="76"/>
        <v>**</v>
      </c>
      <c r="R103">
        <v>94</v>
      </c>
      <c r="S103" t="str">
        <f t="shared" si="77"/>
        <v>**</v>
      </c>
    </row>
    <row r="104" spans="1:19" x14ac:dyDescent="0.3">
      <c r="A104">
        <v>70900001</v>
      </c>
      <c r="B104">
        <v>-31.666</v>
      </c>
      <c r="C104">
        <v>3.1469999999999998</v>
      </c>
      <c r="D104">
        <v>-24.53</v>
      </c>
      <c r="E104">
        <f t="shared" ref="E104:E112" si="78">B104+$H$1</f>
        <v>455828.53378400003</v>
      </c>
      <c r="F104">
        <f t="shared" ref="F104:F112" si="79">C104+$H$2</f>
        <v>2981803.5648960001</v>
      </c>
      <c r="G104">
        <f t="shared" ref="G104:G112" si="80">D104+$H$3</f>
        <v>-1230.3645200000001</v>
      </c>
      <c r="H104">
        <f t="shared" si="35"/>
        <v>95</v>
      </c>
      <c r="I104">
        <v>-31.672362818091642</v>
      </c>
      <c r="J104">
        <v>3.1946643660776317</v>
      </c>
      <c r="K104">
        <v>-1225.015584</v>
      </c>
      <c r="L104">
        <v>95</v>
      </c>
      <c r="M104">
        <f t="shared" ref="M104:N112" si="81">I104-B104</f>
        <v>-6.3628180916417421E-3</v>
      </c>
      <c r="N104">
        <f t="shared" si="81"/>
        <v>4.7664366077631914E-2</v>
      </c>
      <c r="O104">
        <f t="shared" ref="O104:O112" si="82">K104-G104</f>
        <v>5.3489360000000943</v>
      </c>
      <c r="P104">
        <v>95</v>
      </c>
      <c r="Q104" t="str">
        <f t="shared" ref="Q104:Q112" si="83">A104&amp;","&amp;ROUND(B104,3)&amp;","&amp;ROUND(C104,3)&amp;","&amp;ROUND(G104,2)</f>
        <v>70900001,-31.666,3.147,-1230.36</v>
      </c>
      <c r="R104">
        <v>95</v>
      </c>
      <c r="S104" t="str">
        <f t="shared" ref="S104:S112" si="84">A104+10000000&amp;","&amp;ROUND(B104,3)&amp;","&amp;ROUND(C104,3)&amp;","&amp;ROUND(G104,2)</f>
        <v>80900001,-31.666,3.147,-1230.36</v>
      </c>
    </row>
    <row r="105" spans="1:19" x14ac:dyDescent="0.3">
      <c r="A105">
        <v>70900002</v>
      </c>
      <c r="B105">
        <v>-1.7490000000000001</v>
      </c>
      <c r="C105">
        <v>8.9760000000000009</v>
      </c>
      <c r="D105">
        <v>-24.53</v>
      </c>
      <c r="E105">
        <f t="shared" si="78"/>
        <v>455858.45078400004</v>
      </c>
      <c r="F105">
        <f t="shared" si="79"/>
        <v>2981809.393896</v>
      </c>
      <c r="G105">
        <f t="shared" si="80"/>
        <v>-1230.3645200000001</v>
      </c>
      <c r="H105">
        <f t="shared" si="35"/>
        <v>96</v>
      </c>
      <c r="I105">
        <v>-1.7495519999647513</v>
      </c>
      <c r="J105">
        <v>8.9763600002042949</v>
      </c>
      <c r="K105">
        <v>-1225.015584</v>
      </c>
      <c r="L105">
        <v>96</v>
      </c>
      <c r="M105">
        <f t="shared" si="81"/>
        <v>-5.5199996475119306E-4</v>
      </c>
      <c r="N105">
        <f t="shared" si="81"/>
        <v>3.6000020429405311E-4</v>
      </c>
      <c r="O105">
        <f t="shared" si="82"/>
        <v>5.3489360000000943</v>
      </c>
      <c r="P105">
        <v>96</v>
      </c>
      <c r="Q105" t="str">
        <f t="shared" si="83"/>
        <v>70900002,-1.749,8.976,-1230.36</v>
      </c>
      <c r="R105">
        <v>96</v>
      </c>
      <c r="S105" t="str">
        <f t="shared" si="84"/>
        <v>80900002,-1.749,8.976,-1230.36</v>
      </c>
    </row>
    <row r="106" spans="1:19" x14ac:dyDescent="0.3">
      <c r="A106">
        <v>70900003</v>
      </c>
      <c r="B106">
        <v>-0.85299999999999998</v>
      </c>
      <c r="C106">
        <v>9.1509999999999998</v>
      </c>
      <c r="D106">
        <v>-24.533000000000001</v>
      </c>
      <c r="E106">
        <f t="shared" si="78"/>
        <v>455859.34678400005</v>
      </c>
      <c r="F106">
        <f t="shared" si="79"/>
        <v>2981809.5688960003</v>
      </c>
      <c r="G106">
        <f t="shared" si="80"/>
        <v>-1230.36752</v>
      </c>
      <c r="H106">
        <f t="shared" si="35"/>
        <v>97</v>
      </c>
      <c r="I106">
        <v>-0.85039199999300763</v>
      </c>
      <c r="J106">
        <v>9.1500959997065365</v>
      </c>
      <c r="K106">
        <v>-1225.018632</v>
      </c>
      <c r="L106">
        <v>97</v>
      </c>
      <c r="M106">
        <f t="shared" si="81"/>
        <v>2.6080000069923504E-3</v>
      </c>
      <c r="N106">
        <f t="shared" si="81"/>
        <v>-9.040002934632696E-4</v>
      </c>
      <c r="O106">
        <f t="shared" si="82"/>
        <v>5.3488879999999881</v>
      </c>
      <c r="P106">
        <v>97</v>
      </c>
      <c r="Q106" t="str">
        <f t="shared" si="83"/>
        <v>70900003,-0.853,9.151,-1230.37</v>
      </c>
      <c r="R106">
        <v>97</v>
      </c>
      <c r="S106" t="str">
        <f t="shared" si="84"/>
        <v>80900003,-0.853,9.151,-1230.37</v>
      </c>
    </row>
    <row r="107" spans="1:19" x14ac:dyDescent="0.3">
      <c r="A107">
        <v>70900004</v>
      </c>
      <c r="B107">
        <v>4.5999999999999999E-2</v>
      </c>
      <c r="C107">
        <v>9.3260000000000005</v>
      </c>
      <c r="D107">
        <v>-24.53</v>
      </c>
      <c r="E107">
        <f t="shared" si="78"/>
        <v>455860.24578400003</v>
      </c>
      <c r="F107">
        <f t="shared" si="79"/>
        <v>2981809.7438960001</v>
      </c>
      <c r="G107">
        <f t="shared" si="80"/>
        <v>-1230.3645200000001</v>
      </c>
      <c r="H107">
        <f t="shared" si="35"/>
        <v>98</v>
      </c>
      <c r="I107">
        <v>4.5719999994616956E-2</v>
      </c>
      <c r="J107">
        <v>9.3238319996744394</v>
      </c>
      <c r="K107">
        <v>-1225.015584</v>
      </c>
      <c r="L107">
        <v>98</v>
      </c>
      <c r="M107">
        <f t="shared" si="81"/>
        <v>-2.800000053830437E-4</v>
      </c>
      <c r="N107">
        <f t="shared" si="81"/>
        <v>-2.1680003255610814E-3</v>
      </c>
      <c r="O107">
        <f t="shared" si="82"/>
        <v>5.3489360000000943</v>
      </c>
      <c r="P107">
        <v>98</v>
      </c>
      <c r="Q107" t="str">
        <f t="shared" si="83"/>
        <v>70900004,0.046,9.326,-1230.36</v>
      </c>
      <c r="R107">
        <v>98</v>
      </c>
      <c r="S107" t="str">
        <f t="shared" si="84"/>
        <v>80900004,0.046,9.326,-1230.36</v>
      </c>
    </row>
    <row r="108" spans="1:19" x14ac:dyDescent="0.3">
      <c r="A108">
        <v>70900005</v>
      </c>
      <c r="B108">
        <v>0.94199999999999995</v>
      </c>
      <c r="C108">
        <v>9.5009999999999994</v>
      </c>
      <c r="D108">
        <v>-24.527000000000001</v>
      </c>
      <c r="E108">
        <f t="shared" si="78"/>
        <v>455861.14178400004</v>
      </c>
      <c r="F108">
        <f t="shared" si="79"/>
        <v>2981809.9188960004</v>
      </c>
      <c r="G108">
        <f t="shared" si="80"/>
        <v>-1230.3615200000002</v>
      </c>
      <c r="H108">
        <f t="shared" si="35"/>
        <v>99</v>
      </c>
      <c r="I108">
        <v>0.94488000002456829</v>
      </c>
      <c r="J108">
        <v>9.500616000033915</v>
      </c>
      <c r="K108">
        <v>-1225.0125360000002</v>
      </c>
      <c r="L108">
        <v>99</v>
      </c>
      <c r="M108">
        <f t="shared" si="81"/>
        <v>2.880000024568341E-3</v>
      </c>
      <c r="N108">
        <f t="shared" si="81"/>
        <v>-3.839999660844029E-4</v>
      </c>
      <c r="O108">
        <f t="shared" si="82"/>
        <v>5.3489839999999731</v>
      </c>
      <c r="P108">
        <v>99</v>
      </c>
      <c r="Q108" t="str">
        <f t="shared" si="83"/>
        <v>70900005,0.942,9.501,-1230.36</v>
      </c>
      <c r="R108">
        <v>99</v>
      </c>
      <c r="S108" t="str">
        <f t="shared" si="84"/>
        <v>80900005,0.942,9.501,-1230.36</v>
      </c>
    </row>
    <row r="109" spans="1:19" x14ac:dyDescent="0.3">
      <c r="A109">
        <v>70900006</v>
      </c>
      <c r="B109">
        <v>1.8420000000000001</v>
      </c>
      <c r="C109">
        <v>9.6760000000000002</v>
      </c>
      <c r="D109">
        <v>-24.524000000000001</v>
      </c>
      <c r="E109">
        <f t="shared" si="78"/>
        <v>455862.04178400006</v>
      </c>
      <c r="F109">
        <f t="shared" si="79"/>
        <v>2981810.0938960002</v>
      </c>
      <c r="G109">
        <f t="shared" si="80"/>
        <v>-1230.3585200000002</v>
      </c>
      <c r="H109">
        <f t="shared" si="35"/>
        <v>100</v>
      </c>
      <c r="I109">
        <v>1.8409920000121929</v>
      </c>
      <c r="J109">
        <v>9.6743520000018179</v>
      </c>
      <c r="K109">
        <v>-1225.0094880000001</v>
      </c>
      <c r="L109">
        <v>100</v>
      </c>
      <c r="M109">
        <f t="shared" si="81"/>
        <v>-1.0079999878072066E-3</v>
      </c>
      <c r="N109">
        <f t="shared" si="81"/>
        <v>-1.6479999981822147E-3</v>
      </c>
      <c r="O109">
        <f t="shared" si="82"/>
        <v>5.3490320000000793</v>
      </c>
      <c r="P109">
        <v>100</v>
      </c>
      <c r="Q109" t="str">
        <f t="shared" si="83"/>
        <v>70900006,1.842,9.676,-1230.36</v>
      </c>
      <c r="R109">
        <v>100</v>
      </c>
      <c r="S109" t="str">
        <f t="shared" si="84"/>
        <v>80900006,1.842,9.676,-1230.36</v>
      </c>
    </row>
    <row r="110" spans="1:19" x14ac:dyDescent="0.3">
      <c r="A110">
        <v>70900007</v>
      </c>
      <c r="B110">
        <v>2.738</v>
      </c>
      <c r="C110">
        <v>9.8510000000000009</v>
      </c>
      <c r="D110">
        <v>-24.521000000000001</v>
      </c>
      <c r="E110">
        <f t="shared" si="78"/>
        <v>455862.93778400007</v>
      </c>
      <c r="F110">
        <f t="shared" si="79"/>
        <v>2981810.268896</v>
      </c>
      <c r="G110">
        <f t="shared" si="80"/>
        <v>-1230.3555200000001</v>
      </c>
      <c r="H110">
        <f t="shared" si="35"/>
        <v>101</v>
      </c>
      <c r="I110">
        <v>2.7401519999839365</v>
      </c>
      <c r="J110">
        <v>9.8511359998956323</v>
      </c>
      <c r="K110">
        <v>-1225.0064400000001</v>
      </c>
      <c r="L110">
        <v>101</v>
      </c>
      <c r="M110">
        <f t="shared" si="81"/>
        <v>2.1519999839365589E-3</v>
      </c>
      <c r="N110">
        <f t="shared" si="81"/>
        <v>1.3599989563140014E-4</v>
      </c>
      <c r="O110">
        <f t="shared" si="82"/>
        <v>5.3490799999999581</v>
      </c>
      <c r="P110">
        <v>101</v>
      </c>
      <c r="Q110" t="str">
        <f t="shared" si="83"/>
        <v>70900007,2.738,9.851,-1230.36</v>
      </c>
      <c r="R110">
        <v>101</v>
      </c>
      <c r="S110" t="str">
        <f t="shared" si="84"/>
        <v>80900007,2.738,9.851,-1230.36</v>
      </c>
    </row>
    <row r="111" spans="1:19" x14ac:dyDescent="0.3">
      <c r="A111">
        <v>70900008</v>
      </c>
      <c r="B111">
        <v>3.6360000000000001</v>
      </c>
      <c r="C111">
        <v>10.026</v>
      </c>
      <c r="D111">
        <v>-24.521000000000001</v>
      </c>
      <c r="E111">
        <f t="shared" si="78"/>
        <v>455863.83578400005</v>
      </c>
      <c r="F111">
        <f t="shared" si="79"/>
        <v>2981810.4438960003</v>
      </c>
      <c r="G111">
        <f t="shared" si="80"/>
        <v>-1230.3555200000001</v>
      </c>
      <c r="H111">
        <f t="shared" si="35"/>
        <v>102</v>
      </c>
      <c r="I111">
        <v>3.6362639999715611</v>
      </c>
      <c r="J111">
        <v>10.024871999863535</v>
      </c>
      <c r="K111">
        <v>-1225.0064400000001</v>
      </c>
      <c r="L111">
        <v>102</v>
      </c>
      <c r="M111">
        <f t="shared" si="81"/>
        <v>2.6399997156101307E-4</v>
      </c>
      <c r="N111">
        <f t="shared" si="81"/>
        <v>-1.1280001364646353E-3</v>
      </c>
      <c r="O111">
        <f t="shared" si="82"/>
        <v>5.3490799999999581</v>
      </c>
      <c r="P111">
        <v>102</v>
      </c>
      <c r="Q111" t="str">
        <f t="shared" si="83"/>
        <v>70900008,3.636,10.026,-1230.36</v>
      </c>
      <c r="R111">
        <v>102</v>
      </c>
      <c r="S111" t="str">
        <f t="shared" si="84"/>
        <v>80900008,3.636,10.026,-1230.36</v>
      </c>
    </row>
    <row r="112" spans="1:19" x14ac:dyDescent="0.3">
      <c r="A112">
        <v>70900009</v>
      </c>
      <c r="B112">
        <v>4.5330000000000004</v>
      </c>
      <c r="C112">
        <v>10.201000000000001</v>
      </c>
      <c r="D112">
        <v>-24.521000000000001</v>
      </c>
      <c r="E112">
        <f t="shared" si="78"/>
        <v>455864.73278400005</v>
      </c>
      <c r="F112">
        <f t="shared" si="79"/>
        <v>2981810.6188960001</v>
      </c>
      <c r="G112">
        <f t="shared" si="80"/>
        <v>-1230.3555200000001</v>
      </c>
      <c r="H112">
        <f t="shared" si="35"/>
        <v>103</v>
      </c>
      <c r="I112">
        <v>4.5323760000173934</v>
      </c>
      <c r="J112">
        <v>10.198608000297099</v>
      </c>
      <c r="K112">
        <v>-1225.0064400000001</v>
      </c>
      <c r="L112">
        <v>103</v>
      </c>
      <c r="M112">
        <f t="shared" si="81"/>
        <v>-6.2399998260698197E-4</v>
      </c>
      <c r="N112">
        <f t="shared" si="81"/>
        <v>-2.3919997029011597E-3</v>
      </c>
      <c r="O112">
        <f t="shared" si="82"/>
        <v>5.3490799999999581</v>
      </c>
      <c r="P112">
        <v>103</v>
      </c>
      <c r="Q112" t="str">
        <f t="shared" si="83"/>
        <v>70900009,4.533,10.201,-1230.36</v>
      </c>
      <c r="R112">
        <v>103</v>
      </c>
      <c r="S112" t="str">
        <f t="shared" si="84"/>
        <v>80900009,4.533,10.201,-1230.36</v>
      </c>
    </row>
    <row r="113" spans="1:19" x14ac:dyDescent="0.3">
      <c r="A113" t="s">
        <v>246</v>
      </c>
      <c r="H113">
        <f t="shared" si="35"/>
        <v>104</v>
      </c>
      <c r="L113">
        <v>104</v>
      </c>
      <c r="P113">
        <v>104</v>
      </c>
      <c r="Q113" t="str">
        <f>A113</f>
        <v>**</v>
      </c>
      <c r="R113">
        <v>104</v>
      </c>
      <c r="S113" t="str">
        <f>Q113</f>
        <v>**</v>
      </c>
    </row>
    <row r="114" spans="1:19" x14ac:dyDescent="0.3">
      <c r="A114" t="s">
        <v>266</v>
      </c>
      <c r="H114">
        <f t="shared" si="35"/>
        <v>105</v>
      </c>
      <c r="I114" t="s">
        <v>6</v>
      </c>
      <c r="K114">
        <v>12.191505070652733</v>
      </c>
      <c r="L114">
        <v>105</v>
      </c>
      <c r="P114">
        <v>105</v>
      </c>
      <c r="Q114" t="str">
        <f t="shared" ref="Q114:Q115" si="85">A114</f>
        <v>** Corridor #10</v>
      </c>
      <c r="R114">
        <v>105</v>
      </c>
      <c r="S114" t="str">
        <f t="shared" ref="S114:S115" si="86">Q114</f>
        <v>** Corridor #10</v>
      </c>
    </row>
    <row r="115" spans="1:19" x14ac:dyDescent="0.3">
      <c r="A115" t="s">
        <v>246</v>
      </c>
      <c r="H115">
        <f t="shared" si="35"/>
        <v>106</v>
      </c>
      <c r="I115" t="s">
        <v>0</v>
      </c>
      <c r="J115" t="s">
        <v>1</v>
      </c>
      <c r="K115" t="s">
        <v>2</v>
      </c>
      <c r="L115">
        <v>106</v>
      </c>
      <c r="P115">
        <v>106</v>
      </c>
      <c r="Q115" t="str">
        <f t="shared" si="85"/>
        <v>**</v>
      </c>
      <c r="R115">
        <v>106</v>
      </c>
      <c r="S115" t="str">
        <f t="shared" si="86"/>
        <v>**</v>
      </c>
    </row>
    <row r="116" spans="1:19" x14ac:dyDescent="0.3">
      <c r="A116">
        <v>71000001</v>
      </c>
      <c r="B116">
        <v>-32.249000000000002</v>
      </c>
      <c r="C116">
        <v>6.1369999999999996</v>
      </c>
      <c r="D116">
        <v>-24.5</v>
      </c>
      <c r="E116">
        <f t="shared" ref="E116:E122" si="87">B116+$H$1</f>
        <v>455827.95078400004</v>
      </c>
      <c r="F116">
        <f t="shared" ref="F116:F122" si="88">C116+$H$2</f>
        <v>2981806.5548960003</v>
      </c>
      <c r="G116">
        <f t="shared" ref="G116:G122" si="89">D116+$H$3</f>
        <v>-1230.3345200000001</v>
      </c>
      <c r="H116">
        <f t="shared" ref="H116:H142" si="90">H115+1</f>
        <v>107</v>
      </c>
      <c r="I116">
        <v>-32.254530818085186</v>
      </c>
      <c r="J116">
        <v>6.0633084499277174</v>
      </c>
      <c r="K116">
        <v>-1224.9851040000001</v>
      </c>
      <c r="L116">
        <v>107</v>
      </c>
      <c r="M116">
        <f t="shared" ref="M116:N122" si="91">I116-B116</f>
        <v>-5.5308180851838529E-3</v>
      </c>
      <c r="N116">
        <f t="shared" si="91"/>
        <v>-7.3691550072282119E-2</v>
      </c>
      <c r="O116">
        <f t="shared" ref="O116:O122" si="92">K116-G116</f>
        <v>5.3494160000000193</v>
      </c>
      <c r="P116">
        <v>107</v>
      </c>
      <c r="Q116" t="str">
        <f t="shared" ref="Q116:Q122" si="93">A116&amp;","&amp;ROUND(B116,3)&amp;","&amp;ROUND(C116,3)&amp;","&amp;ROUND(G116,2)</f>
        <v>71000001,-32.249,6.137,-1230.33</v>
      </c>
      <c r="R116">
        <v>107</v>
      </c>
      <c r="S116" t="str">
        <f t="shared" ref="S116:S122" si="94">A116+10000000&amp;","&amp;ROUND(B116,3)&amp;","&amp;ROUND(C116,3)&amp;","&amp;ROUND(G116,2)</f>
        <v>81000001,-32.249,6.137,-1230.33</v>
      </c>
    </row>
    <row r="117" spans="1:19" x14ac:dyDescent="0.3">
      <c r="A117">
        <v>71000002</v>
      </c>
      <c r="B117">
        <v>-2.3319999999999999</v>
      </c>
      <c r="C117">
        <v>11.965999999999999</v>
      </c>
      <c r="D117">
        <v>-24.5</v>
      </c>
      <c r="E117">
        <f t="shared" si="87"/>
        <v>455857.86778400006</v>
      </c>
      <c r="F117">
        <f t="shared" si="88"/>
        <v>2981812.3838960002</v>
      </c>
      <c r="G117">
        <f t="shared" si="89"/>
        <v>-1230.3345200000001</v>
      </c>
      <c r="H117">
        <f t="shared" si="90"/>
        <v>108</v>
      </c>
      <c r="I117">
        <v>-2.3317199999582954</v>
      </c>
      <c r="J117">
        <v>11.966447999700904</v>
      </c>
      <c r="K117">
        <v>-1224.9851040000001</v>
      </c>
      <c r="L117">
        <v>108</v>
      </c>
      <c r="M117">
        <f t="shared" si="91"/>
        <v>2.8000004170447568E-4</v>
      </c>
      <c r="N117">
        <f t="shared" si="91"/>
        <v>4.4799970090458885E-4</v>
      </c>
      <c r="O117">
        <f t="shared" si="92"/>
        <v>5.3494160000000193</v>
      </c>
      <c r="P117">
        <v>108</v>
      </c>
      <c r="Q117" t="str">
        <f t="shared" si="93"/>
        <v>71000002,-2.332,11.966,-1230.33</v>
      </c>
      <c r="R117">
        <v>108</v>
      </c>
      <c r="S117" t="str">
        <f t="shared" si="94"/>
        <v>81000002,-2.332,11.966,-1230.33</v>
      </c>
    </row>
    <row r="118" spans="1:19" x14ac:dyDescent="0.3">
      <c r="A118">
        <v>71000003</v>
      </c>
      <c r="B118">
        <v>-1.4359999999999999</v>
      </c>
      <c r="C118">
        <v>12.141</v>
      </c>
      <c r="D118">
        <v>-24.494</v>
      </c>
      <c r="E118">
        <f t="shared" si="87"/>
        <v>455858.76378400007</v>
      </c>
      <c r="F118">
        <f t="shared" si="88"/>
        <v>2981812.558896</v>
      </c>
      <c r="G118">
        <f t="shared" si="89"/>
        <v>-1230.32852</v>
      </c>
      <c r="H118">
        <f t="shared" si="90"/>
        <v>109</v>
      </c>
      <c r="I118">
        <v>-1.4356079999706708</v>
      </c>
      <c r="J118">
        <v>12.143231999594718</v>
      </c>
      <c r="K118">
        <v>-1224.979008</v>
      </c>
      <c r="L118">
        <v>109</v>
      </c>
      <c r="M118">
        <f t="shared" si="91"/>
        <v>3.9200002932915368E-4</v>
      </c>
      <c r="N118">
        <f t="shared" si="91"/>
        <v>2.2319995947182036E-3</v>
      </c>
      <c r="O118">
        <f t="shared" si="92"/>
        <v>5.3495120000000043</v>
      </c>
      <c r="P118">
        <v>109</v>
      </c>
      <c r="Q118" t="str">
        <f t="shared" si="93"/>
        <v>71000003,-1.436,12.141,-1230.33</v>
      </c>
      <c r="R118">
        <v>109</v>
      </c>
      <c r="S118" t="str">
        <f t="shared" si="94"/>
        <v>81000003,-1.436,12.141,-1230.33</v>
      </c>
    </row>
    <row r="119" spans="1:19" x14ac:dyDescent="0.3">
      <c r="A119">
        <v>71000004</v>
      </c>
      <c r="B119">
        <v>-0.53600000000000003</v>
      </c>
      <c r="C119">
        <v>12.316000000000001</v>
      </c>
      <c r="D119">
        <v>-24.484999999999999</v>
      </c>
      <c r="E119">
        <f t="shared" si="87"/>
        <v>455859.66378400003</v>
      </c>
      <c r="F119">
        <f t="shared" si="88"/>
        <v>2981812.7338960003</v>
      </c>
      <c r="G119">
        <f t="shared" si="89"/>
        <v>-1230.31952</v>
      </c>
      <c r="H119">
        <f t="shared" si="90"/>
        <v>110</v>
      </c>
      <c r="I119">
        <v>-0.53644799999892712</v>
      </c>
      <c r="J119">
        <v>12.316968000028282</v>
      </c>
      <c r="K119">
        <v>-1224.9698639999999</v>
      </c>
      <c r="L119">
        <v>110</v>
      </c>
      <c r="M119">
        <f t="shared" si="91"/>
        <v>-4.4799999892708442E-4</v>
      </c>
      <c r="N119">
        <f t="shared" si="91"/>
        <v>9.6800002828167919E-4</v>
      </c>
      <c r="O119">
        <f t="shared" si="92"/>
        <v>5.3496560000000954</v>
      </c>
      <c r="P119">
        <v>110</v>
      </c>
      <c r="Q119" t="str">
        <f t="shared" si="93"/>
        <v>71000004,-0.536,12.316,-1230.32</v>
      </c>
      <c r="R119">
        <v>110</v>
      </c>
      <c r="S119" t="str">
        <f t="shared" si="94"/>
        <v>81000004,-0.536,12.316,-1230.32</v>
      </c>
    </row>
    <row r="120" spans="1:19" x14ac:dyDescent="0.3">
      <c r="A120">
        <v>71000005</v>
      </c>
      <c r="B120">
        <v>0.36</v>
      </c>
      <c r="C120">
        <v>12.491</v>
      </c>
      <c r="D120">
        <v>-24.484999999999999</v>
      </c>
      <c r="E120">
        <f t="shared" si="87"/>
        <v>455860.55978400004</v>
      </c>
      <c r="F120">
        <f t="shared" si="88"/>
        <v>2981812.9088960001</v>
      </c>
      <c r="G120">
        <f t="shared" si="89"/>
        <v>-1230.31952</v>
      </c>
      <c r="H120">
        <f t="shared" si="90"/>
        <v>111</v>
      </c>
      <c r="I120">
        <v>0.35966399998869747</v>
      </c>
      <c r="J120">
        <v>12.490703999996185</v>
      </c>
      <c r="K120">
        <v>-1224.9698639999999</v>
      </c>
      <c r="L120">
        <v>111</v>
      </c>
      <c r="M120">
        <f t="shared" si="91"/>
        <v>-3.3600001130251744E-4</v>
      </c>
      <c r="N120">
        <f t="shared" si="91"/>
        <v>-2.9600000381435621E-4</v>
      </c>
      <c r="O120">
        <f t="shared" si="92"/>
        <v>5.3496560000000954</v>
      </c>
      <c r="P120">
        <v>111</v>
      </c>
      <c r="Q120" t="str">
        <f t="shared" si="93"/>
        <v>71000005,0.36,12.491,-1230.32</v>
      </c>
      <c r="R120">
        <v>111</v>
      </c>
      <c r="S120" t="str">
        <f t="shared" si="94"/>
        <v>81000005,0.36,12.491,-1230.32</v>
      </c>
    </row>
    <row r="121" spans="1:19" x14ac:dyDescent="0.3">
      <c r="A121">
        <v>71000006</v>
      </c>
      <c r="B121">
        <v>1.2589999999999999</v>
      </c>
      <c r="C121">
        <v>12.666</v>
      </c>
      <c r="D121">
        <v>-24.484999999999999</v>
      </c>
      <c r="E121">
        <f t="shared" si="87"/>
        <v>455861.45878400007</v>
      </c>
      <c r="F121">
        <f t="shared" si="88"/>
        <v>2981813.0838960004</v>
      </c>
      <c r="G121">
        <f t="shared" si="89"/>
        <v>-1230.31952</v>
      </c>
      <c r="H121">
        <f t="shared" si="90"/>
        <v>112</v>
      </c>
      <c r="I121">
        <v>1.2588240000186488</v>
      </c>
      <c r="J121">
        <v>12.66748799989</v>
      </c>
      <c r="K121">
        <v>-1224.9698639999999</v>
      </c>
      <c r="L121">
        <v>112</v>
      </c>
      <c r="M121">
        <f t="shared" si="91"/>
        <v>-1.7599998135109374E-4</v>
      </c>
      <c r="N121">
        <f t="shared" si="91"/>
        <v>1.4879998899992586E-3</v>
      </c>
      <c r="O121">
        <f t="shared" si="92"/>
        <v>5.3496560000000954</v>
      </c>
      <c r="P121">
        <v>112</v>
      </c>
      <c r="Q121" t="str">
        <f t="shared" si="93"/>
        <v>71000006,1.259,12.666,-1230.32</v>
      </c>
      <c r="R121">
        <v>112</v>
      </c>
      <c r="S121" t="str">
        <f t="shared" si="94"/>
        <v>81000006,1.259,12.666,-1230.32</v>
      </c>
    </row>
    <row r="122" spans="1:19" x14ac:dyDescent="0.3">
      <c r="A122">
        <v>71000007</v>
      </c>
      <c r="B122">
        <v>2.1549999999999998</v>
      </c>
      <c r="C122">
        <v>12.840999999999999</v>
      </c>
      <c r="D122">
        <v>-24.484999999999999</v>
      </c>
      <c r="E122">
        <f t="shared" si="87"/>
        <v>455862.35478400008</v>
      </c>
      <c r="F122">
        <f t="shared" si="88"/>
        <v>2981813.2588960002</v>
      </c>
      <c r="G122">
        <f t="shared" si="89"/>
        <v>-1230.31952</v>
      </c>
      <c r="H122">
        <f t="shared" si="90"/>
        <v>113</v>
      </c>
      <c r="I122">
        <v>2.1549360000062734</v>
      </c>
      <c r="J122">
        <v>12.841224000323564</v>
      </c>
      <c r="K122">
        <v>-1224.9698639999999</v>
      </c>
      <c r="L122">
        <v>113</v>
      </c>
      <c r="M122">
        <f t="shared" si="91"/>
        <v>-6.3999993726415738E-5</v>
      </c>
      <c r="N122">
        <f t="shared" si="91"/>
        <v>2.240003235645105E-4</v>
      </c>
      <c r="O122">
        <f t="shared" si="92"/>
        <v>5.3496560000000954</v>
      </c>
      <c r="P122">
        <v>113</v>
      </c>
      <c r="Q122" t="str">
        <f t="shared" si="93"/>
        <v>71000007,2.155,12.841,-1230.32</v>
      </c>
      <c r="R122">
        <v>113</v>
      </c>
      <c r="S122" t="str">
        <f t="shared" si="94"/>
        <v>81000007,2.155,12.841,-1230.32</v>
      </c>
    </row>
    <row r="123" spans="1:19" x14ac:dyDescent="0.3">
      <c r="A123" t="s">
        <v>246</v>
      </c>
      <c r="H123">
        <f t="shared" si="90"/>
        <v>114</v>
      </c>
      <c r="L123">
        <v>114</v>
      </c>
      <c r="P123">
        <v>114</v>
      </c>
      <c r="Q123" t="str">
        <f>A123</f>
        <v>**</v>
      </c>
      <c r="R123">
        <v>114</v>
      </c>
      <c r="S123" t="str">
        <f>Q123</f>
        <v>**</v>
      </c>
    </row>
    <row r="124" spans="1:19" x14ac:dyDescent="0.3">
      <c r="A124" t="s">
        <v>267</v>
      </c>
      <c r="H124">
        <f t="shared" si="90"/>
        <v>115</v>
      </c>
      <c r="I124" t="s">
        <v>5</v>
      </c>
      <c r="K124">
        <v>15.240731502500021</v>
      </c>
      <c r="L124">
        <v>115</v>
      </c>
      <c r="P124">
        <v>115</v>
      </c>
      <c r="Q124" t="str">
        <f t="shared" ref="Q124:Q125" si="95">A124</f>
        <v>** Corridor #11</v>
      </c>
      <c r="R124">
        <v>115</v>
      </c>
      <c r="S124" t="str">
        <f t="shared" ref="S124:S125" si="96">Q124</f>
        <v>** Corridor #11</v>
      </c>
    </row>
    <row r="125" spans="1:19" x14ac:dyDescent="0.3">
      <c r="A125" t="s">
        <v>246</v>
      </c>
      <c r="H125">
        <f t="shared" si="90"/>
        <v>116</v>
      </c>
      <c r="I125" t="s">
        <v>0</v>
      </c>
      <c r="J125" t="s">
        <v>1</v>
      </c>
      <c r="K125" t="s">
        <v>2</v>
      </c>
      <c r="L125">
        <v>116</v>
      </c>
      <c r="P125">
        <v>116</v>
      </c>
      <c r="Q125" t="str">
        <f t="shared" si="95"/>
        <v>**</v>
      </c>
      <c r="R125">
        <v>116</v>
      </c>
      <c r="S125" t="str">
        <f t="shared" si="96"/>
        <v>**</v>
      </c>
    </row>
    <row r="126" spans="1:19" x14ac:dyDescent="0.3">
      <c r="A126">
        <v>71100001</v>
      </c>
      <c r="B126">
        <v>-32.832000000000001</v>
      </c>
      <c r="C126">
        <v>9.1300000000000008</v>
      </c>
      <c r="D126">
        <v>-24.46</v>
      </c>
      <c r="E126">
        <f t="shared" ref="E126:E142" si="97">B126+$H$1</f>
        <v>455827.36778400006</v>
      </c>
      <c r="F126">
        <f t="shared" ref="F126:F142" si="98">C126+$H$2</f>
        <v>2981809.5478960001</v>
      </c>
      <c r="G126">
        <f t="shared" ref="G126:G142" si="99">D126+$H$3</f>
        <v>-1230.2945200000001</v>
      </c>
      <c r="H126">
        <f t="shared" si="90"/>
        <v>117</v>
      </c>
      <c r="I126">
        <v>-32.836698818136938</v>
      </c>
      <c r="J126">
        <v>9.1582227163016796</v>
      </c>
      <c r="K126">
        <v>-1224.9454800000001</v>
      </c>
      <c r="L126">
        <v>117</v>
      </c>
      <c r="M126">
        <f t="shared" ref="M126:N142" si="100">I126-B126</f>
        <v>-4.6988181369371773E-3</v>
      </c>
      <c r="N126">
        <f t="shared" si="100"/>
        <v>2.822271630167883E-2</v>
      </c>
      <c r="O126">
        <f t="shared" ref="O126:O140" si="101">K126-G126</f>
        <v>5.3490400000000591</v>
      </c>
      <c r="P126">
        <v>117</v>
      </c>
      <c r="Q126" t="str">
        <f t="shared" ref="Q126:Q140" si="102">A126&amp;","&amp;ROUND(B126,3)&amp;","&amp;ROUND(C126,3)&amp;","&amp;ROUND(G126,2)</f>
        <v>71100001,-32.832,9.13,-1230.29</v>
      </c>
      <c r="R126">
        <v>117</v>
      </c>
      <c r="S126" t="str">
        <f t="shared" ref="S126:S140" si="103">A126+10000000&amp;","&amp;ROUND(B126,3)&amp;","&amp;ROUND(C126,3)&amp;","&amp;ROUND(G126,2)</f>
        <v>81100001,-32.832,9.13,-1230.29</v>
      </c>
    </row>
    <row r="127" spans="1:19" x14ac:dyDescent="0.3">
      <c r="A127">
        <v>71100002</v>
      </c>
      <c r="B127">
        <v>-2.915</v>
      </c>
      <c r="C127">
        <v>14.959</v>
      </c>
      <c r="D127">
        <v>-24.46</v>
      </c>
      <c r="E127">
        <f t="shared" si="97"/>
        <v>455857.28478400008</v>
      </c>
      <c r="F127">
        <f t="shared" si="98"/>
        <v>2981815.376896</v>
      </c>
      <c r="G127">
        <f t="shared" si="99"/>
        <v>-1230.2945200000001</v>
      </c>
      <c r="H127">
        <f t="shared" si="90"/>
        <v>118</v>
      </c>
      <c r="I127">
        <v>-2.9138880000100471</v>
      </c>
      <c r="J127">
        <v>14.959584000054747</v>
      </c>
      <c r="K127">
        <v>-1224.9454800000001</v>
      </c>
      <c r="L127">
        <v>118</v>
      </c>
      <c r="M127">
        <f t="shared" si="100"/>
        <v>1.1119999899529276E-3</v>
      </c>
      <c r="N127">
        <f t="shared" si="100"/>
        <v>5.8400005474723571E-4</v>
      </c>
      <c r="O127">
        <f t="shared" si="101"/>
        <v>5.3490400000000591</v>
      </c>
      <c r="P127">
        <v>118</v>
      </c>
      <c r="Q127" t="str">
        <f t="shared" si="102"/>
        <v>71100002,-2.915,14.959,-1230.29</v>
      </c>
      <c r="R127">
        <v>118</v>
      </c>
      <c r="S127" t="str">
        <f t="shared" si="103"/>
        <v>81100002,-2.915,14.959,-1230.29</v>
      </c>
    </row>
    <row r="128" spans="1:19" x14ac:dyDescent="0.3">
      <c r="A128">
        <v>71100003</v>
      </c>
      <c r="B128">
        <v>-2.0190000000000001</v>
      </c>
      <c r="C128">
        <v>15.134</v>
      </c>
      <c r="D128">
        <v>-24.457000000000001</v>
      </c>
      <c r="E128">
        <f t="shared" si="97"/>
        <v>455858.18078400008</v>
      </c>
      <c r="F128">
        <f t="shared" si="98"/>
        <v>2981815.5518960003</v>
      </c>
      <c r="G128">
        <f t="shared" si="99"/>
        <v>-1230.2915200000002</v>
      </c>
      <c r="H128">
        <f t="shared" si="90"/>
        <v>119</v>
      </c>
      <c r="I128">
        <v>-2.0177759999642149</v>
      </c>
      <c r="J128">
        <v>15.13332000002265</v>
      </c>
      <c r="K128">
        <v>-1224.9424320000001</v>
      </c>
      <c r="L128">
        <v>119</v>
      </c>
      <c r="M128">
        <f t="shared" si="100"/>
        <v>1.2240000357852665E-3</v>
      </c>
      <c r="N128">
        <f t="shared" si="100"/>
        <v>-6.7999997735057605E-4</v>
      </c>
      <c r="O128">
        <f t="shared" si="101"/>
        <v>5.3490880000001653</v>
      </c>
      <c r="P128">
        <v>119</v>
      </c>
      <c r="Q128" t="str">
        <f t="shared" si="102"/>
        <v>71100003,-2.019,15.134,-1230.29</v>
      </c>
      <c r="R128">
        <v>119</v>
      </c>
      <c r="S128" t="str">
        <f t="shared" si="103"/>
        <v>81100003,-2.019,15.134,-1230.29</v>
      </c>
    </row>
    <row r="129" spans="1:19" x14ac:dyDescent="0.3">
      <c r="A129">
        <v>71100004</v>
      </c>
      <c r="B129">
        <v>-1.1200000000000001</v>
      </c>
      <c r="C129">
        <v>15.308999999999999</v>
      </c>
      <c r="D129">
        <v>-24.454000000000001</v>
      </c>
      <c r="E129">
        <f t="shared" si="97"/>
        <v>455859.07978400006</v>
      </c>
      <c r="F129">
        <f t="shared" si="98"/>
        <v>2981815.7268960001</v>
      </c>
      <c r="G129">
        <f t="shared" si="99"/>
        <v>-1230.2885200000001</v>
      </c>
      <c r="H129">
        <f t="shared" si="90"/>
        <v>120</v>
      </c>
      <c r="I129">
        <v>-1.1186159999924712</v>
      </c>
      <c r="J129">
        <v>15.307055999990553</v>
      </c>
      <c r="K129">
        <v>-1224.939384</v>
      </c>
      <c r="L129">
        <v>120</v>
      </c>
      <c r="M129">
        <f t="shared" si="100"/>
        <v>1.3840000075289183E-3</v>
      </c>
      <c r="N129">
        <f t="shared" si="100"/>
        <v>-1.9440000094466114E-3</v>
      </c>
      <c r="O129">
        <f t="shared" si="101"/>
        <v>5.3491360000000441</v>
      </c>
      <c r="P129">
        <v>120</v>
      </c>
      <c r="Q129" t="str">
        <f t="shared" si="102"/>
        <v>71100004,-1.12,15.309,-1230.29</v>
      </c>
      <c r="R129">
        <v>120</v>
      </c>
      <c r="S129" t="str">
        <f t="shared" si="103"/>
        <v>81100004,-1.12,15.309,-1230.29</v>
      </c>
    </row>
    <row r="130" spans="1:19" x14ac:dyDescent="0.3">
      <c r="A130">
        <v>71100005</v>
      </c>
      <c r="B130">
        <v>-0.224</v>
      </c>
      <c r="C130">
        <v>15.484</v>
      </c>
      <c r="D130">
        <v>-24.454000000000001</v>
      </c>
      <c r="E130">
        <f t="shared" si="97"/>
        <v>455859.97578400007</v>
      </c>
      <c r="F130">
        <f t="shared" si="98"/>
        <v>2981815.9018960004</v>
      </c>
      <c r="G130">
        <f t="shared" si="99"/>
        <v>-1230.2885200000001</v>
      </c>
      <c r="H130">
        <f t="shared" si="90"/>
        <v>121</v>
      </c>
      <c r="I130">
        <v>-0.2225040000048466</v>
      </c>
      <c r="J130">
        <v>15.483839999884367</v>
      </c>
      <c r="K130">
        <v>-1224.939384</v>
      </c>
      <c r="L130">
        <v>121</v>
      </c>
      <c r="M130">
        <f t="shared" si="100"/>
        <v>1.495999995153402E-3</v>
      </c>
      <c r="N130">
        <f t="shared" si="100"/>
        <v>-1.6000011563299665E-4</v>
      </c>
      <c r="O130">
        <f t="shared" si="101"/>
        <v>5.3491360000000441</v>
      </c>
      <c r="P130">
        <v>121</v>
      </c>
      <c r="Q130" t="str">
        <f t="shared" si="102"/>
        <v>71100005,-0.224,15.484,-1230.29</v>
      </c>
      <c r="R130">
        <v>121</v>
      </c>
      <c r="S130" t="str">
        <f t="shared" si="103"/>
        <v>81100005,-0.224,15.484,-1230.29</v>
      </c>
    </row>
    <row r="131" spans="1:19" x14ac:dyDescent="0.3">
      <c r="A131">
        <v>71100006</v>
      </c>
      <c r="B131">
        <v>0.67600000000000005</v>
      </c>
      <c r="C131">
        <v>15.659000000000001</v>
      </c>
      <c r="D131">
        <v>-24.454000000000001</v>
      </c>
      <c r="E131">
        <f t="shared" si="97"/>
        <v>455860.87578400003</v>
      </c>
      <c r="F131">
        <f t="shared" si="98"/>
        <v>2981816.0768960002</v>
      </c>
      <c r="G131">
        <f t="shared" si="99"/>
        <v>-1230.2885200000001</v>
      </c>
      <c r="H131">
        <f t="shared" si="90"/>
        <v>122</v>
      </c>
      <c r="I131">
        <v>0.67665600002510473</v>
      </c>
      <c r="J131">
        <v>15.657576000317931</v>
      </c>
      <c r="K131">
        <v>-1224.939384</v>
      </c>
      <c r="L131">
        <v>122</v>
      </c>
      <c r="M131">
        <f t="shared" si="100"/>
        <v>6.5600002510468602E-4</v>
      </c>
      <c r="N131">
        <f t="shared" si="100"/>
        <v>-1.4239996820695211E-3</v>
      </c>
      <c r="O131">
        <f t="shared" si="101"/>
        <v>5.3491360000000441</v>
      </c>
      <c r="P131">
        <v>122</v>
      </c>
      <c r="Q131" t="str">
        <f t="shared" si="102"/>
        <v>71100006,0.676,15.659,-1230.29</v>
      </c>
      <c r="R131">
        <v>122</v>
      </c>
      <c r="S131" t="str">
        <f t="shared" si="103"/>
        <v>81100006,0.676,15.659,-1230.29</v>
      </c>
    </row>
    <row r="132" spans="1:19" x14ac:dyDescent="0.3">
      <c r="A132">
        <v>71100007</v>
      </c>
      <c r="B132">
        <v>1.5720000000000001</v>
      </c>
      <c r="C132">
        <v>15.834</v>
      </c>
      <c r="D132">
        <v>-24.451000000000001</v>
      </c>
      <c r="E132">
        <f t="shared" si="97"/>
        <v>455861.77178400004</v>
      </c>
      <c r="F132">
        <f t="shared" si="98"/>
        <v>2981816.251896</v>
      </c>
      <c r="G132">
        <f t="shared" si="99"/>
        <v>-1230.2855200000001</v>
      </c>
      <c r="H132">
        <f t="shared" si="90"/>
        <v>123</v>
      </c>
      <c r="I132">
        <v>1.5727679999545217</v>
      </c>
      <c r="J132">
        <v>15.834360000211746</v>
      </c>
      <c r="K132">
        <v>-1224.9363360000002</v>
      </c>
      <c r="L132">
        <v>123</v>
      </c>
      <c r="M132">
        <f t="shared" si="100"/>
        <v>7.6799995452159209E-4</v>
      </c>
      <c r="N132">
        <f t="shared" si="100"/>
        <v>3.6000021174587005E-4</v>
      </c>
      <c r="O132">
        <f t="shared" si="101"/>
        <v>5.3491839999999229</v>
      </c>
      <c r="P132">
        <v>123</v>
      </c>
      <c r="Q132" t="str">
        <f t="shared" si="102"/>
        <v>71100007,1.572,15.834,-1230.29</v>
      </c>
      <c r="R132">
        <v>123</v>
      </c>
      <c r="S132" t="str">
        <f t="shared" si="103"/>
        <v>81100007,1.572,15.834,-1230.29</v>
      </c>
    </row>
    <row r="133" spans="1:19" x14ac:dyDescent="0.3">
      <c r="A133">
        <v>71100008</v>
      </c>
      <c r="B133">
        <v>2.4710000000000001</v>
      </c>
      <c r="C133">
        <v>16.009</v>
      </c>
      <c r="D133">
        <v>-24.448</v>
      </c>
      <c r="E133">
        <f t="shared" si="97"/>
        <v>455862.67078400007</v>
      </c>
      <c r="F133">
        <f t="shared" si="98"/>
        <v>2981816.4268960003</v>
      </c>
      <c r="G133">
        <f t="shared" si="99"/>
        <v>-1230.2825200000002</v>
      </c>
      <c r="H133">
        <f t="shared" si="90"/>
        <v>124</v>
      </c>
      <c r="I133">
        <v>2.4688800000585616</v>
      </c>
      <c r="J133">
        <v>16.008095999713987</v>
      </c>
      <c r="K133">
        <v>-1224.9332879999999</v>
      </c>
      <c r="L133">
        <v>124</v>
      </c>
      <c r="M133">
        <f t="shared" si="100"/>
        <v>-2.1199999414385218E-3</v>
      </c>
      <c r="N133">
        <f t="shared" si="100"/>
        <v>-9.0400028601322902E-4</v>
      </c>
      <c r="O133">
        <f t="shared" si="101"/>
        <v>5.3492320000002564</v>
      </c>
      <c r="P133">
        <v>124</v>
      </c>
      <c r="Q133" t="str">
        <f t="shared" si="102"/>
        <v>71100008,2.471,16.009,-1230.28</v>
      </c>
      <c r="R133">
        <v>124</v>
      </c>
      <c r="S133" t="str">
        <f t="shared" si="103"/>
        <v>81100008,2.471,16.009,-1230.28</v>
      </c>
    </row>
    <row r="134" spans="1:19" x14ac:dyDescent="0.3">
      <c r="A134">
        <v>71100009</v>
      </c>
      <c r="B134">
        <v>3.367</v>
      </c>
      <c r="C134">
        <v>16.184000000000001</v>
      </c>
      <c r="D134">
        <v>-24.454000000000001</v>
      </c>
      <c r="E134">
        <f t="shared" si="97"/>
        <v>455863.56678400008</v>
      </c>
      <c r="F134">
        <f t="shared" si="98"/>
        <v>2981816.6018960001</v>
      </c>
      <c r="G134">
        <f t="shared" si="99"/>
        <v>-1230.2885200000001</v>
      </c>
      <c r="H134">
        <f t="shared" si="90"/>
        <v>125</v>
      </c>
      <c r="I134">
        <v>3.3680400000303052</v>
      </c>
      <c r="J134">
        <v>16.18183199968189</v>
      </c>
      <c r="K134">
        <v>-1224.939384</v>
      </c>
      <c r="L134">
        <v>125</v>
      </c>
      <c r="M134">
        <f t="shared" si="100"/>
        <v>1.0400000303052437E-3</v>
      </c>
      <c r="N134">
        <f t="shared" si="100"/>
        <v>-2.1680003181110408E-3</v>
      </c>
      <c r="O134">
        <f t="shared" si="101"/>
        <v>5.3491360000000441</v>
      </c>
      <c r="P134">
        <v>125</v>
      </c>
      <c r="Q134" t="str">
        <f t="shared" si="102"/>
        <v>71100009,3.367,16.184,-1230.29</v>
      </c>
      <c r="R134">
        <v>125</v>
      </c>
      <c r="S134" t="str">
        <f t="shared" si="103"/>
        <v>81100009,3.367,16.184,-1230.29</v>
      </c>
    </row>
    <row r="135" spans="1:19" x14ac:dyDescent="0.3">
      <c r="A135">
        <v>71100010</v>
      </c>
      <c r="B135">
        <v>4.266</v>
      </c>
      <c r="C135">
        <v>16.359000000000002</v>
      </c>
      <c r="D135">
        <v>-24.46</v>
      </c>
      <c r="E135">
        <f t="shared" si="97"/>
        <v>455864.46578400006</v>
      </c>
      <c r="F135">
        <f t="shared" si="98"/>
        <v>2981816.7768960004</v>
      </c>
      <c r="G135">
        <f t="shared" si="99"/>
        <v>-1230.2945200000001</v>
      </c>
      <c r="H135">
        <f t="shared" si="90"/>
        <v>126</v>
      </c>
      <c r="I135">
        <v>4.2641520000179298</v>
      </c>
      <c r="J135">
        <v>16.358616000041366</v>
      </c>
      <c r="K135">
        <v>-1224.9454800000001</v>
      </c>
      <c r="L135">
        <v>126</v>
      </c>
      <c r="M135">
        <f t="shared" si="100"/>
        <v>-1.847999982070192E-3</v>
      </c>
      <c r="N135">
        <f t="shared" si="100"/>
        <v>-3.8399995863613867E-4</v>
      </c>
      <c r="O135">
        <f t="shared" si="101"/>
        <v>5.3490400000000591</v>
      </c>
      <c r="P135">
        <v>126</v>
      </c>
      <c r="Q135" t="str">
        <f t="shared" si="102"/>
        <v>71100010,4.266,16.359,-1230.29</v>
      </c>
      <c r="R135">
        <v>126</v>
      </c>
      <c r="S135" t="str">
        <f t="shared" si="103"/>
        <v>81100010,4.266,16.359,-1230.29</v>
      </c>
    </row>
    <row r="136" spans="1:19" x14ac:dyDescent="0.3">
      <c r="A136">
        <v>71100011</v>
      </c>
      <c r="B136">
        <v>5.1619999999999999</v>
      </c>
      <c r="C136">
        <v>16.533000000000001</v>
      </c>
      <c r="D136">
        <v>-24.469000000000001</v>
      </c>
      <c r="E136">
        <f t="shared" si="97"/>
        <v>455865.36178400007</v>
      </c>
      <c r="F136">
        <f t="shared" si="98"/>
        <v>2981816.950896</v>
      </c>
      <c r="G136">
        <f t="shared" si="99"/>
        <v>-1230.3035200000002</v>
      </c>
      <c r="H136">
        <f t="shared" si="90"/>
        <v>127</v>
      </c>
      <c r="I136">
        <v>5.1633119999896735</v>
      </c>
      <c r="J136">
        <v>16.532352000009269</v>
      </c>
      <c r="K136">
        <v>-1224.9546240000002</v>
      </c>
      <c r="L136">
        <v>127</v>
      </c>
      <c r="M136">
        <f t="shared" si="100"/>
        <v>1.3119999896735735E-3</v>
      </c>
      <c r="N136">
        <f t="shared" si="100"/>
        <v>-6.4799999073272829E-4</v>
      </c>
      <c r="O136">
        <f t="shared" si="101"/>
        <v>5.3488959999999679</v>
      </c>
      <c r="P136">
        <v>127</v>
      </c>
      <c r="Q136" t="str">
        <f t="shared" si="102"/>
        <v>71100011,5.162,16.533,-1230.3</v>
      </c>
      <c r="R136">
        <v>127</v>
      </c>
      <c r="S136" t="str">
        <f t="shared" si="103"/>
        <v>81100011,5.162,16.533,-1230.3</v>
      </c>
    </row>
    <row r="137" spans="1:19" x14ac:dyDescent="0.3">
      <c r="A137">
        <v>71100012</v>
      </c>
      <c r="B137">
        <v>6.0609999999999999</v>
      </c>
      <c r="C137">
        <v>16.709</v>
      </c>
      <c r="D137">
        <v>-24.472000000000001</v>
      </c>
      <c r="E137">
        <f t="shared" si="97"/>
        <v>455866.26078400004</v>
      </c>
      <c r="F137">
        <f t="shared" si="98"/>
        <v>2981817.126896</v>
      </c>
      <c r="G137">
        <f t="shared" si="99"/>
        <v>-1230.3065200000001</v>
      </c>
      <c r="H137">
        <f t="shared" si="90"/>
        <v>128</v>
      </c>
      <c r="I137">
        <v>6.0594240000355057</v>
      </c>
      <c r="J137">
        <v>16.706087999977171</v>
      </c>
      <c r="K137">
        <v>-1224.957672</v>
      </c>
      <c r="L137">
        <v>128</v>
      </c>
      <c r="M137">
        <f t="shared" si="100"/>
        <v>-1.5759999644942013E-3</v>
      </c>
      <c r="N137">
        <f t="shared" si="100"/>
        <v>-2.9120000228282095E-3</v>
      </c>
      <c r="O137">
        <f t="shared" si="101"/>
        <v>5.3488480000000891</v>
      </c>
      <c r="P137">
        <v>128</v>
      </c>
      <c r="Q137" t="str">
        <f t="shared" si="102"/>
        <v>71100012,6.061,16.709,-1230.31</v>
      </c>
      <c r="R137">
        <v>128</v>
      </c>
      <c r="S137" t="str">
        <f t="shared" si="103"/>
        <v>81100012,6.061,16.709,-1230.31</v>
      </c>
    </row>
    <row r="138" spans="1:19" x14ac:dyDescent="0.3">
      <c r="A138">
        <v>71100013</v>
      </c>
      <c r="B138">
        <v>6.9569999999999999</v>
      </c>
      <c r="C138">
        <v>16.882999999999999</v>
      </c>
      <c r="D138">
        <v>-24.478000000000002</v>
      </c>
      <c r="E138">
        <f t="shared" si="97"/>
        <v>455867.15678400005</v>
      </c>
      <c r="F138">
        <f t="shared" si="98"/>
        <v>2981817.3008960001</v>
      </c>
      <c r="G138">
        <f t="shared" si="99"/>
        <v>-1230.3125200000002</v>
      </c>
      <c r="H138">
        <f t="shared" si="90"/>
        <v>129</v>
      </c>
      <c r="I138">
        <v>6.9585840000072494</v>
      </c>
      <c r="J138">
        <v>16.882871999870986</v>
      </c>
      <c r="K138">
        <v>-1224.9637680000001</v>
      </c>
      <c r="L138">
        <v>129</v>
      </c>
      <c r="M138">
        <f t="shared" si="100"/>
        <v>1.5840000072495641E-3</v>
      </c>
      <c r="N138">
        <f t="shared" si="100"/>
        <v>-1.2800012901337254E-4</v>
      </c>
      <c r="O138">
        <f t="shared" si="101"/>
        <v>5.3487520000001041</v>
      </c>
      <c r="P138">
        <v>129</v>
      </c>
      <c r="Q138" t="str">
        <f t="shared" si="102"/>
        <v>71100013,6.957,16.883,-1230.31</v>
      </c>
      <c r="R138">
        <v>129</v>
      </c>
      <c r="S138" t="str">
        <f t="shared" si="103"/>
        <v>81100013,6.957,16.883,-1230.31</v>
      </c>
    </row>
    <row r="139" spans="1:19" x14ac:dyDescent="0.3">
      <c r="A139">
        <v>71100014</v>
      </c>
      <c r="B139">
        <v>7.8570000000000002</v>
      </c>
      <c r="C139">
        <v>17.058</v>
      </c>
      <c r="D139">
        <v>-24.481999999999999</v>
      </c>
      <c r="E139">
        <f t="shared" si="97"/>
        <v>455868.05678400007</v>
      </c>
      <c r="F139">
        <f t="shared" si="98"/>
        <v>2981817.4758960004</v>
      </c>
      <c r="G139">
        <f t="shared" si="99"/>
        <v>-1230.3165200000001</v>
      </c>
      <c r="H139">
        <f t="shared" si="90"/>
        <v>130</v>
      </c>
      <c r="I139">
        <v>7.854695999994874</v>
      </c>
      <c r="J139">
        <v>17.05660800030455</v>
      </c>
      <c r="K139">
        <v>-1224.9668160000001</v>
      </c>
      <c r="L139">
        <v>130</v>
      </c>
      <c r="M139">
        <f t="shared" si="100"/>
        <v>-2.3040000051262055E-3</v>
      </c>
      <c r="N139">
        <f t="shared" si="100"/>
        <v>-1.391999695449897E-3</v>
      </c>
      <c r="O139">
        <f t="shared" si="101"/>
        <v>5.3497039999999743</v>
      </c>
      <c r="P139">
        <v>130</v>
      </c>
      <c r="Q139" t="str">
        <f t="shared" si="102"/>
        <v>71100014,7.857,17.058,-1230.32</v>
      </c>
      <c r="R139">
        <v>130</v>
      </c>
      <c r="S139" t="str">
        <f t="shared" si="103"/>
        <v>81100014,7.857,17.058,-1230.32</v>
      </c>
    </row>
    <row r="140" spans="1:19" x14ac:dyDescent="0.3">
      <c r="A140">
        <v>71100015</v>
      </c>
      <c r="B140">
        <v>8.7530000000000001</v>
      </c>
      <c r="C140">
        <v>17.233000000000001</v>
      </c>
      <c r="D140">
        <v>-24.481999999999999</v>
      </c>
      <c r="E140">
        <f t="shared" si="97"/>
        <v>455868.95278400008</v>
      </c>
      <c r="F140">
        <f t="shared" si="98"/>
        <v>2981817.6508960002</v>
      </c>
      <c r="G140">
        <f t="shared" si="99"/>
        <v>-1230.3165200000001</v>
      </c>
      <c r="H140">
        <f t="shared" si="90"/>
        <v>131</v>
      </c>
      <c r="I140">
        <v>8.7538560000248253</v>
      </c>
      <c r="J140">
        <v>17.233392000198364</v>
      </c>
      <c r="K140">
        <v>-1224.9668160000001</v>
      </c>
      <c r="L140">
        <v>131</v>
      </c>
      <c r="M140">
        <f t="shared" si="100"/>
        <v>8.5600002482522086E-4</v>
      </c>
      <c r="N140">
        <f t="shared" si="100"/>
        <v>3.920001983637178E-4</v>
      </c>
      <c r="O140">
        <f t="shared" si="101"/>
        <v>5.3497039999999743</v>
      </c>
      <c r="P140">
        <v>131</v>
      </c>
      <c r="Q140" t="str">
        <f t="shared" si="102"/>
        <v>71100015,8.753,17.233,-1230.32</v>
      </c>
      <c r="R140">
        <v>131</v>
      </c>
      <c r="S140" t="str">
        <f t="shared" si="103"/>
        <v>81100015,8.753,17.233,-1230.32</v>
      </c>
    </row>
    <row r="141" spans="1:19" x14ac:dyDescent="0.3">
      <c r="A141">
        <v>71100016</v>
      </c>
      <c r="B141">
        <v>9.6489999999999991</v>
      </c>
      <c r="C141">
        <v>17.408000000000001</v>
      </c>
      <c r="D141">
        <v>-24.472000000000001</v>
      </c>
      <c r="E141">
        <f t="shared" si="97"/>
        <v>455869.84878400003</v>
      </c>
      <c r="F141">
        <f t="shared" si="98"/>
        <v>2981817.825896</v>
      </c>
      <c r="G141">
        <f t="shared" si="99"/>
        <v>-1230.3065200000001</v>
      </c>
      <c r="H141">
        <f t="shared" si="90"/>
        <v>132</v>
      </c>
      <c r="I141">
        <v>9.6499679999542423</v>
      </c>
      <c r="J141">
        <v>17.407127999700606</v>
      </c>
      <c r="K141">
        <v>-1224.957672</v>
      </c>
      <c r="L141">
        <v>132</v>
      </c>
      <c r="M141">
        <f t="shared" si="100"/>
        <v>9.6799995424312613E-4</v>
      </c>
      <c r="N141">
        <f t="shared" si="100"/>
        <v>-8.7200029939538126E-4</v>
      </c>
      <c r="O141">
        <f t="shared" ref="O141:O142" si="104">K141-G141</f>
        <v>5.3488480000000891</v>
      </c>
      <c r="P141">
        <v>132</v>
      </c>
      <c r="Q141" t="str">
        <f t="shared" ref="Q141:Q142" si="105">A141&amp;","&amp;ROUND(B141,3)&amp;","&amp;ROUND(C141,3)&amp;","&amp;ROUND(G141,2)</f>
        <v>71100016,9.649,17.408,-1230.31</v>
      </c>
      <c r="R141">
        <v>132</v>
      </c>
      <c r="S141" t="str">
        <f t="shared" ref="S141:S142" si="106">A141+10000000&amp;","&amp;ROUND(B141,3)&amp;","&amp;ROUND(C141,3)&amp;","&amp;ROUND(G141,2)</f>
        <v>81100016,9.649,17.408,-1230.31</v>
      </c>
    </row>
    <row r="142" spans="1:19" x14ac:dyDescent="0.3">
      <c r="A142">
        <v>71100017</v>
      </c>
      <c r="B142">
        <v>10.548</v>
      </c>
      <c r="C142">
        <v>17.582999999999998</v>
      </c>
      <c r="D142">
        <v>-24.463000000000001</v>
      </c>
      <c r="E142">
        <f t="shared" si="97"/>
        <v>455870.74778400006</v>
      </c>
      <c r="F142">
        <f t="shared" si="98"/>
        <v>2981818.0008960003</v>
      </c>
      <c r="G142">
        <f t="shared" si="99"/>
        <v>-1230.2975200000001</v>
      </c>
      <c r="H142">
        <f t="shared" si="90"/>
        <v>133</v>
      </c>
      <c r="I142">
        <v>10.549128000042401</v>
      </c>
      <c r="J142">
        <v>17.580863999668509</v>
      </c>
      <c r="K142">
        <v>-1224.9485280000001</v>
      </c>
      <c r="L142">
        <v>133</v>
      </c>
      <c r="M142">
        <f t="shared" si="100"/>
        <v>1.1280000424012115E-3</v>
      </c>
      <c r="N142">
        <f t="shared" si="100"/>
        <v>-2.1360003314896403E-3</v>
      </c>
      <c r="O142">
        <f t="shared" si="104"/>
        <v>5.3489919999999529</v>
      </c>
      <c r="P142">
        <v>133</v>
      </c>
      <c r="Q142" t="str">
        <f t="shared" si="105"/>
        <v>71100017,10.548,17.583,-1230.3</v>
      </c>
      <c r="R142">
        <v>133</v>
      </c>
      <c r="S142" t="str">
        <f t="shared" si="106"/>
        <v>81100017,10.548,17.583,-1230.3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F766E"/>
  </sheetPr>
  <dimension ref="B2:G26"/>
  <sheetViews>
    <sheetView showGridLines="0" tabSelected="1" workbookViewId="0">
      <pane ySplit="3" topLeftCell="A4" activePane="bottomLeft" state="frozen"/>
      <selection pane="bottomLeft"/>
    </sheetView>
  </sheetViews>
  <sheetFormatPr defaultRowHeight="14.4" x14ac:dyDescent="0.3"/>
  <cols>
    <col min="1" max="1" width="3" customWidth="1"/>
    <col min="2" max="2" width="15" customWidth="1"/>
    <col min="3" max="3" width="18" customWidth="1"/>
    <col min="4" max="4" width="19" customWidth="1"/>
    <col min="5" max="5" width="18" customWidth="1"/>
    <col min="6" max="6" width="20" customWidth="1"/>
    <col min="7" max="7" width="16" customWidth="1"/>
  </cols>
  <sheetData>
    <row r="2" spans="2:7" ht="34.049999999999997" customHeight="1" x14ac:dyDescent="0.3">
      <c r="B2" s="57" t="s">
        <v>268</v>
      </c>
      <c r="C2" s="57"/>
      <c r="D2" s="57"/>
      <c r="E2" s="57"/>
      <c r="F2" s="57"/>
      <c r="G2" s="57"/>
    </row>
    <row r="3" spans="2:7" ht="24" customHeight="1" x14ac:dyDescent="0.3">
      <c r="B3" s="58" t="s">
        <v>269</v>
      </c>
      <c r="C3" s="58"/>
      <c r="D3" s="58"/>
      <c r="E3" s="58"/>
      <c r="F3" s="58"/>
      <c r="G3" s="58"/>
    </row>
    <row r="4" spans="2:7" ht="21" customHeight="1" x14ac:dyDescent="0.3">
      <c r="B4" s="51"/>
      <c r="C4" s="51"/>
      <c r="D4" s="51"/>
      <c r="E4" s="51"/>
      <c r="F4" s="51"/>
      <c r="G4" s="51"/>
    </row>
    <row r="5" spans="2:7" ht="21" customHeight="1" x14ac:dyDescent="0.3">
      <c r="B5" s="52" t="s">
        <v>270</v>
      </c>
      <c r="C5" s="52" t="s">
        <v>271</v>
      </c>
      <c r="D5" s="52" t="s">
        <v>272</v>
      </c>
      <c r="E5" s="52" t="s">
        <v>273</v>
      </c>
      <c r="F5" s="52" t="s">
        <v>274</v>
      </c>
      <c r="G5" s="52" t="s">
        <v>275</v>
      </c>
    </row>
    <row r="6" spans="2:7" ht="34.049999999999997" customHeight="1" x14ac:dyDescent="0.3">
      <c r="B6" s="53" t="s">
        <v>276</v>
      </c>
      <c r="C6" s="53" t="s">
        <v>277</v>
      </c>
      <c r="D6" s="53" t="s">
        <v>278</v>
      </c>
      <c r="E6" s="53" t="s">
        <v>279</v>
      </c>
      <c r="F6" s="53" t="s">
        <v>280</v>
      </c>
      <c r="G6" s="53" t="s">
        <v>281</v>
      </c>
    </row>
    <row r="7" spans="2:7" ht="34.049999999999997" customHeight="1" x14ac:dyDescent="0.3">
      <c r="B7" s="53" t="s">
        <v>282</v>
      </c>
      <c r="C7" s="53" t="s">
        <v>283</v>
      </c>
      <c r="D7" s="53" t="s">
        <v>278</v>
      </c>
      <c r="E7" s="53" t="s">
        <v>284</v>
      </c>
      <c r="F7" s="53" t="s">
        <v>285</v>
      </c>
      <c r="G7" s="53" t="s">
        <v>281</v>
      </c>
    </row>
    <row r="8" spans="2:7" ht="34.049999999999997" customHeight="1" x14ac:dyDescent="0.3">
      <c r="B8" s="53" t="s">
        <v>286</v>
      </c>
      <c r="C8" s="53" t="s">
        <v>287</v>
      </c>
      <c r="D8" s="53" t="s">
        <v>288</v>
      </c>
      <c r="E8" s="53" t="s">
        <v>289</v>
      </c>
      <c r="F8" s="53" t="s">
        <v>290</v>
      </c>
      <c r="G8" s="53" t="s">
        <v>281</v>
      </c>
    </row>
    <row r="9" spans="2:7" ht="34.049999999999997" customHeight="1" x14ac:dyDescent="0.3">
      <c r="B9" s="53" t="s">
        <v>291</v>
      </c>
      <c r="C9" s="53" t="s">
        <v>292</v>
      </c>
      <c r="D9" s="53" t="s">
        <v>40</v>
      </c>
      <c r="E9" s="53" t="s">
        <v>293</v>
      </c>
      <c r="F9" s="53" t="s">
        <v>294</v>
      </c>
      <c r="G9" s="53" t="s">
        <v>281</v>
      </c>
    </row>
    <row r="10" spans="2:7" ht="21" customHeight="1" x14ac:dyDescent="0.3">
      <c r="B10" s="59" t="s">
        <v>295</v>
      </c>
      <c r="C10" s="59"/>
      <c r="D10" s="59"/>
      <c r="E10" s="59"/>
      <c r="F10" s="59"/>
      <c r="G10" s="59"/>
    </row>
    <row r="11" spans="2:7" ht="21" customHeight="1" x14ac:dyDescent="0.3">
      <c r="B11" s="51"/>
      <c r="C11" s="51"/>
      <c r="D11" s="51"/>
      <c r="E11" s="51"/>
      <c r="F11" s="51"/>
      <c r="G11" s="51"/>
    </row>
    <row r="12" spans="2:7" ht="30" customHeight="1" x14ac:dyDescent="0.3">
      <c r="B12" s="60" t="s">
        <v>296</v>
      </c>
      <c r="C12" s="60"/>
      <c r="D12" s="60"/>
      <c r="E12" s="61" t="s">
        <v>297</v>
      </c>
      <c r="F12" s="61"/>
      <c r="G12" s="61"/>
    </row>
    <row r="13" spans="2:7" ht="30" customHeight="1" x14ac:dyDescent="0.3">
      <c r="B13" s="60"/>
      <c r="C13" s="60"/>
      <c r="D13" s="60"/>
      <c r="E13" s="61"/>
      <c r="F13" s="61"/>
      <c r="G13" s="61"/>
    </row>
    <row r="14" spans="2:7" ht="30" customHeight="1" x14ac:dyDescent="0.3">
      <c r="B14" s="60"/>
      <c r="C14" s="60"/>
      <c r="D14" s="60"/>
      <c r="E14" s="61"/>
      <c r="F14" s="61"/>
      <c r="G14" s="61"/>
    </row>
    <row r="15" spans="2:7" ht="21" customHeight="1" x14ac:dyDescent="0.3">
      <c r="B15" s="51"/>
      <c r="C15" s="51"/>
      <c r="D15" s="51"/>
      <c r="E15" s="51"/>
      <c r="F15" s="51"/>
      <c r="G15" s="51"/>
    </row>
    <row r="16" spans="2:7" ht="21" customHeight="1" x14ac:dyDescent="0.3">
      <c r="B16" s="54" t="s">
        <v>298</v>
      </c>
      <c r="C16" s="54"/>
      <c r="D16" s="65" t="s">
        <v>321</v>
      </c>
      <c r="E16" s="65"/>
      <c r="F16" s="65"/>
      <c r="G16" s="65"/>
    </row>
    <row r="17" spans="2:7" ht="21" customHeight="1" x14ac:dyDescent="0.3">
      <c r="B17" s="54" t="s">
        <v>299</v>
      </c>
      <c r="C17" s="54"/>
      <c r="D17" s="66">
        <v>46274.809016203704</v>
      </c>
      <c r="E17" s="62"/>
      <c r="F17" s="62"/>
      <c r="G17" s="62"/>
    </row>
    <row r="18" spans="2:7" ht="21" customHeight="1" x14ac:dyDescent="0.3">
      <c r="B18" s="54" t="s">
        <v>300</v>
      </c>
      <c r="C18" s="54"/>
      <c r="D18" s="62">
        <v>5</v>
      </c>
      <c r="E18" s="62"/>
      <c r="F18" s="62"/>
      <c r="G18" s="62"/>
    </row>
    <row r="19" spans="2:7" ht="21" customHeight="1" x14ac:dyDescent="0.3">
      <c r="B19" s="54" t="s">
        <v>301</v>
      </c>
      <c r="C19" s="54"/>
      <c r="D19" s="62" t="s">
        <v>322</v>
      </c>
      <c r="E19" s="62"/>
      <c r="F19" s="62"/>
      <c r="G19" s="62"/>
    </row>
    <row r="20" spans="2:7" ht="21" customHeight="1" x14ac:dyDescent="0.3">
      <c r="B20" s="51"/>
      <c r="C20" s="51"/>
      <c r="D20" s="51"/>
      <c r="E20" s="51"/>
      <c r="F20" s="51"/>
      <c r="G20" s="51"/>
    </row>
    <row r="21" spans="2:7" ht="21" customHeight="1" x14ac:dyDescent="0.3">
      <c r="B21" s="63" t="s">
        <v>302</v>
      </c>
      <c r="C21" s="63"/>
      <c r="D21" s="63"/>
      <c r="E21" s="63"/>
      <c r="F21" s="63"/>
      <c r="G21" s="63"/>
    </row>
    <row r="22" spans="2:7" ht="28.05" customHeight="1" x14ac:dyDescent="0.3">
      <c r="B22" s="56" t="s">
        <v>160</v>
      </c>
      <c r="C22" s="55" t="s">
        <v>303</v>
      </c>
      <c r="D22" s="64" t="s">
        <v>304</v>
      </c>
      <c r="E22" s="64"/>
      <c r="F22" s="64"/>
      <c r="G22" s="64"/>
    </row>
    <row r="23" spans="2:7" ht="28.05" customHeight="1" x14ac:dyDescent="0.3">
      <c r="B23" s="56" t="s">
        <v>161</v>
      </c>
      <c r="C23" s="55" t="s">
        <v>305</v>
      </c>
      <c r="D23" s="64" t="s">
        <v>306</v>
      </c>
      <c r="E23" s="64"/>
      <c r="F23" s="64"/>
      <c r="G23" s="64"/>
    </row>
    <row r="24" spans="2:7" ht="28.05" customHeight="1" x14ac:dyDescent="0.3">
      <c r="B24" s="56" t="s">
        <v>162</v>
      </c>
      <c r="C24" s="55" t="s">
        <v>307</v>
      </c>
      <c r="D24" s="64" t="s">
        <v>308</v>
      </c>
      <c r="E24" s="64"/>
      <c r="F24" s="64"/>
      <c r="G24" s="64"/>
    </row>
    <row r="25" spans="2:7" ht="28.05" customHeight="1" x14ac:dyDescent="0.3">
      <c r="B25" s="56" t="s">
        <v>309</v>
      </c>
      <c r="C25" s="55" t="s">
        <v>310</v>
      </c>
      <c r="D25" s="64" t="s">
        <v>311</v>
      </c>
      <c r="E25" s="64"/>
      <c r="F25" s="64"/>
      <c r="G25" s="64"/>
    </row>
    <row r="26" spans="2:7" ht="28.05" customHeight="1" x14ac:dyDescent="0.3">
      <c r="B26" s="56" t="s">
        <v>312</v>
      </c>
      <c r="C26" s="55" t="s">
        <v>313</v>
      </c>
      <c r="D26" s="64" t="s">
        <v>314</v>
      </c>
      <c r="E26" s="64"/>
      <c r="F26" s="64"/>
      <c r="G26" s="64"/>
    </row>
  </sheetData>
  <mergeCells count="15">
    <mergeCell ref="D22:G22"/>
    <mergeCell ref="D23:G23"/>
    <mergeCell ref="D24:G24"/>
    <mergeCell ref="D25:G25"/>
    <mergeCell ref="D26:G26"/>
    <mergeCell ref="D16:G16"/>
    <mergeCell ref="D17:G17"/>
    <mergeCell ref="D18:G18"/>
    <mergeCell ref="D19:G19"/>
    <mergeCell ref="B21:G21"/>
    <mergeCell ref="B2:G2"/>
    <mergeCell ref="B3:G3"/>
    <mergeCell ref="B10:G10"/>
    <mergeCell ref="B12:D14"/>
    <mergeCell ref="E12:G1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270d1ab-9a11-4f16-aad6-91e816d106bd">
      <Terms xmlns="http://schemas.microsoft.com/office/infopath/2007/PartnerControls"/>
    </lcf76f155ced4ddcb4097134ff3c332f>
    <TaxCatchAll xmlns="106c3a68-2aa9-4ad6-bcc6-97631f62a40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1273061BD1C04B841DF0B4BA9A3C10" ma:contentTypeVersion="19" ma:contentTypeDescription="Create a new document." ma:contentTypeScope="" ma:versionID="223640c91b785319c6562c9855fa883a">
  <xsd:schema xmlns:xsd="http://www.w3.org/2001/XMLSchema" xmlns:xs="http://www.w3.org/2001/XMLSchema" xmlns:p="http://schemas.microsoft.com/office/2006/metadata/properties" xmlns:ns2="7270d1ab-9a11-4f16-aad6-91e816d106bd" xmlns:ns3="106c3a68-2aa9-4ad6-bcc6-97631f62a400" targetNamespace="http://schemas.microsoft.com/office/2006/metadata/properties" ma:root="true" ma:fieldsID="6128c691979dc0eb5a6e08bfec12cd10" ns2:_="" ns3:_="">
    <xsd:import namespace="7270d1ab-9a11-4f16-aad6-91e816d106bd"/>
    <xsd:import namespace="106c3a68-2aa9-4ad6-bcc6-97631f62a4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70d1ab-9a11-4f16-aad6-91e816d106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6c3a68-2aa9-4ad6-bcc6-97631f62a400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21ec6ed-bc25-4775-9829-045587637502}" ma:internalName="TaxCatchAll" ma:showField="CatchAllData" ma:web="106c3a68-2aa9-4ad6-bcc6-97631f62a4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C45B32-44A8-4758-B10E-93394DFA087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353D04A-A9DB-4376-A0DE-E71AAE053D49}">
  <ds:schemaRefs>
    <ds:schemaRef ds:uri="http://schemas.microsoft.com/office/2006/metadata/properties"/>
    <ds:schemaRef ds:uri="http://schemas.microsoft.com/office/infopath/2007/PartnerControls"/>
    <ds:schemaRef ds:uri="7270d1ab-9a11-4f16-aad6-91e816d106bd"/>
    <ds:schemaRef ds:uri="106c3a68-2aa9-4ad6-bcc6-97631f62a400"/>
  </ds:schemaRefs>
</ds:datastoreItem>
</file>

<file path=customXml/itemProps3.xml><?xml version="1.0" encoding="utf-8"?>
<ds:datastoreItem xmlns:ds="http://schemas.openxmlformats.org/officeDocument/2006/customXml" ds:itemID="{5F99DE69-55AD-4B5A-B7D3-5606B3EC98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70d1ab-9a11-4f16-aad6-91e816d106bd"/>
    <ds:schemaRef ds:uri="106c3a68-2aa9-4ad6-bcc6-97631f62a4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Seabed_3ft</vt:lpstr>
      <vt:lpstr>Seabed_m</vt:lpstr>
      <vt:lpstr>Seabed_m_offset</vt:lpstr>
      <vt:lpstr>FL6new2</vt:lpstr>
      <vt:lpstr>ModSeabed</vt:lpstr>
      <vt:lpstr>Seabed Workflow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Qiao</dc:creator>
  <cp:lastModifiedBy>Frank Tao</cp:lastModifiedBy>
  <dcterms:created xsi:type="dcterms:W3CDTF">2015-06-05T18:17:20Z</dcterms:created>
  <dcterms:modified xsi:type="dcterms:W3CDTF">2026-09-10T00:25:02Z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2024-03-06T14:43:36Z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8e9c0a08-6c06-4da6-93b4-8357afca9d27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0x010100581273061BD1C04B841DF0B4BA9A3C10</vt:lpwstr>
  </property>
</Properties>
</file>